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u/Dropbox/Github_Data/HITAP_CovidM/"/>
    </mc:Choice>
  </mc:AlternateContent>
  <xr:revisionPtr revIDLastSave="0" documentId="13_ncr:1_{C5E73C87-4A95-D448-8ABF-8D3492B8DA78}" xr6:coauthVersionLast="47" xr6:coauthVersionMax="47" xr10:uidLastSave="{00000000-0000-0000-0000-000000000000}"/>
  <bookViews>
    <workbookView xWindow="-38400" yWindow="-1960" windowWidth="38400" windowHeight="21600" activeTab="1" xr2:uid="{A1A831DA-FDCF-45FE-8467-AC57EDF67DB9}"/>
  </bookViews>
  <sheets>
    <sheet name="MarketShare" sheetId="4" r:id="rId1"/>
    <sheet name="DataExtract" sheetId="1" r:id="rId2"/>
    <sheet name="date_vaccination" sheetId="2" r:id="rId3"/>
    <sheet name="PrimaryDoses" sheetId="7" r:id="rId4"/>
    <sheet name="BoosterDose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4" l="1"/>
  <c r="L6" i="1"/>
  <c r="K6" i="1"/>
  <c r="R11" i="4"/>
  <c r="R12" i="4"/>
  <c r="R10" i="4"/>
  <c r="Q12" i="4"/>
  <c r="Q11" i="4"/>
  <c r="Q10" i="4"/>
  <c r="Q21" i="4"/>
  <c r="R21" i="4"/>
  <c r="S21" i="4"/>
  <c r="T21" i="4"/>
  <c r="U21" i="4"/>
  <c r="Q22" i="4"/>
  <c r="R22" i="4"/>
  <c r="S22" i="4"/>
  <c r="T22" i="4"/>
  <c r="U22" i="4"/>
  <c r="Q23" i="4"/>
  <c r="R23" i="4"/>
  <c r="S23" i="4"/>
  <c r="T23" i="4"/>
  <c r="U23" i="4"/>
  <c r="Q24" i="4"/>
  <c r="R24" i="4"/>
  <c r="S24" i="4"/>
  <c r="T24" i="4"/>
  <c r="U24" i="4"/>
  <c r="Q25" i="4"/>
  <c r="R25" i="4"/>
  <c r="S25" i="4"/>
  <c r="T25" i="4"/>
  <c r="U25" i="4"/>
  <c r="Q26" i="4"/>
  <c r="R26" i="4"/>
  <c r="S26" i="4"/>
  <c r="T26" i="4"/>
  <c r="U26" i="4"/>
  <c r="Q27" i="4"/>
  <c r="R27" i="4"/>
  <c r="S27" i="4"/>
  <c r="T27" i="4"/>
  <c r="U27" i="4"/>
  <c r="Q28" i="4"/>
  <c r="R28" i="4"/>
  <c r="S28" i="4"/>
  <c r="T28" i="4"/>
  <c r="U28" i="4"/>
  <c r="Q29" i="4"/>
  <c r="R29" i="4"/>
  <c r="S29" i="4"/>
  <c r="T29" i="4"/>
  <c r="U29" i="4"/>
  <c r="Q30" i="4"/>
  <c r="R30" i="4"/>
  <c r="S30" i="4"/>
  <c r="T30" i="4"/>
  <c r="U30" i="4"/>
  <c r="Q31" i="4"/>
  <c r="R31" i="4"/>
  <c r="S31" i="4"/>
  <c r="T31" i="4"/>
  <c r="U31" i="4"/>
  <c r="Q32" i="4"/>
  <c r="R32" i="4"/>
  <c r="S32" i="4"/>
  <c r="T32" i="4"/>
  <c r="U32" i="4"/>
  <c r="Q33" i="4"/>
  <c r="R33" i="4"/>
  <c r="S33" i="4"/>
  <c r="T33" i="4"/>
  <c r="U33" i="4"/>
  <c r="Q34" i="4"/>
  <c r="R34" i="4"/>
  <c r="S34" i="4"/>
  <c r="T34" i="4"/>
  <c r="U34" i="4"/>
  <c r="Q35" i="4"/>
  <c r="R35" i="4"/>
  <c r="S35" i="4"/>
  <c r="T35" i="4"/>
  <c r="U35" i="4"/>
  <c r="Q36" i="4"/>
  <c r="R36" i="4"/>
  <c r="S36" i="4"/>
  <c r="T36" i="4"/>
  <c r="U36" i="4"/>
  <c r="Q37" i="4"/>
  <c r="R37" i="4"/>
  <c r="S37" i="4"/>
  <c r="T37" i="4"/>
  <c r="U37" i="4"/>
  <c r="Q38" i="4"/>
  <c r="R38" i="4"/>
  <c r="S38" i="4"/>
  <c r="T38" i="4"/>
  <c r="U38" i="4"/>
  <c r="Q39" i="4"/>
  <c r="R39" i="4"/>
  <c r="S39" i="4"/>
  <c r="T39" i="4"/>
  <c r="U39" i="4"/>
  <c r="Q40" i="4"/>
  <c r="R40" i="4"/>
  <c r="S40" i="4"/>
  <c r="T40" i="4"/>
  <c r="U40" i="4"/>
  <c r="Q41" i="4"/>
  <c r="R41" i="4"/>
  <c r="S41" i="4"/>
  <c r="T41" i="4"/>
  <c r="U41" i="4"/>
  <c r="Q42" i="4"/>
  <c r="R42" i="4"/>
  <c r="S42" i="4"/>
  <c r="T42" i="4"/>
  <c r="U42" i="4"/>
  <c r="Q43" i="4"/>
  <c r="R43" i="4"/>
  <c r="S43" i="4"/>
  <c r="T43" i="4"/>
  <c r="U43" i="4"/>
  <c r="Q44" i="4"/>
  <c r="R44" i="4"/>
  <c r="S44" i="4"/>
  <c r="T44" i="4"/>
  <c r="U44" i="4"/>
  <c r="Q45" i="4"/>
  <c r="R45" i="4"/>
  <c r="S45" i="4"/>
  <c r="T45" i="4"/>
  <c r="U45" i="4"/>
  <c r="Q46" i="4"/>
  <c r="R46" i="4"/>
  <c r="S46" i="4"/>
  <c r="T46" i="4"/>
  <c r="U46" i="4"/>
  <c r="Q47" i="4"/>
  <c r="R47" i="4"/>
  <c r="S47" i="4"/>
  <c r="T47" i="4"/>
  <c r="U47" i="4"/>
  <c r="Q48" i="4"/>
  <c r="R48" i="4"/>
  <c r="S48" i="4"/>
  <c r="T48" i="4"/>
  <c r="U48" i="4"/>
  <c r="Q49" i="4"/>
  <c r="R49" i="4"/>
  <c r="S49" i="4"/>
  <c r="T49" i="4"/>
  <c r="U49" i="4"/>
  <c r="Q50" i="4"/>
  <c r="R50" i="4"/>
  <c r="S50" i="4"/>
  <c r="T50" i="4"/>
  <c r="U50" i="4"/>
  <c r="Q51" i="4"/>
  <c r="R51" i="4"/>
  <c r="S51" i="4"/>
  <c r="T51" i="4"/>
  <c r="U51" i="4"/>
  <c r="Q52" i="4"/>
  <c r="R52" i="4"/>
  <c r="S52" i="4"/>
  <c r="T52" i="4"/>
  <c r="U52" i="4"/>
  <c r="Q53" i="4"/>
  <c r="R53" i="4"/>
  <c r="S53" i="4"/>
  <c r="T53" i="4"/>
  <c r="U53" i="4"/>
  <c r="Q54" i="4"/>
  <c r="R54" i="4"/>
  <c r="S54" i="4"/>
  <c r="T54" i="4"/>
  <c r="U54" i="4"/>
  <c r="Q55" i="4"/>
  <c r="R55" i="4"/>
  <c r="S55" i="4"/>
  <c r="T55" i="4"/>
  <c r="U55" i="4"/>
  <c r="Q56" i="4"/>
  <c r="R56" i="4"/>
  <c r="S56" i="4"/>
  <c r="T56" i="4"/>
  <c r="U56" i="4"/>
  <c r="Q57" i="4"/>
  <c r="R57" i="4"/>
  <c r="S57" i="4"/>
  <c r="T57" i="4"/>
  <c r="U57" i="4"/>
  <c r="Q58" i="4"/>
  <c r="R58" i="4"/>
  <c r="S58" i="4"/>
  <c r="T58" i="4"/>
  <c r="U58" i="4"/>
  <c r="Q59" i="4"/>
  <c r="R59" i="4"/>
  <c r="S59" i="4"/>
  <c r="T59" i="4"/>
  <c r="U59" i="4"/>
  <c r="Q60" i="4"/>
  <c r="R60" i="4"/>
  <c r="S60" i="4"/>
  <c r="T60" i="4"/>
  <c r="U60" i="4"/>
  <c r="Q61" i="4"/>
  <c r="R61" i="4"/>
  <c r="S61" i="4"/>
  <c r="T61" i="4"/>
  <c r="U61" i="4"/>
  <c r="Q62" i="4"/>
  <c r="R62" i="4"/>
  <c r="S62" i="4"/>
  <c r="T62" i="4"/>
  <c r="U62" i="4"/>
  <c r="Q63" i="4"/>
  <c r="R63" i="4"/>
  <c r="S63" i="4"/>
  <c r="T63" i="4"/>
  <c r="U63" i="4"/>
  <c r="Q64" i="4"/>
  <c r="R64" i="4"/>
  <c r="S64" i="4"/>
  <c r="T64" i="4"/>
  <c r="U64" i="4"/>
  <c r="Q65" i="4"/>
  <c r="R65" i="4"/>
  <c r="S65" i="4"/>
  <c r="T65" i="4"/>
  <c r="U65" i="4"/>
  <c r="Q66" i="4"/>
  <c r="R66" i="4"/>
  <c r="S66" i="4"/>
  <c r="T66" i="4"/>
  <c r="U66" i="4"/>
  <c r="Q67" i="4"/>
  <c r="R67" i="4"/>
  <c r="S67" i="4"/>
  <c r="T67" i="4"/>
  <c r="U67" i="4"/>
  <c r="Q68" i="4"/>
  <c r="R68" i="4"/>
  <c r="S68" i="4"/>
  <c r="T68" i="4"/>
  <c r="U68" i="4"/>
  <c r="Q69" i="4"/>
  <c r="R69" i="4"/>
  <c r="S69" i="4"/>
  <c r="T69" i="4"/>
  <c r="U69" i="4"/>
  <c r="Q70" i="4"/>
  <c r="R70" i="4"/>
  <c r="S70" i="4"/>
  <c r="T70" i="4"/>
  <c r="U70" i="4"/>
  <c r="Q71" i="4"/>
  <c r="R71" i="4"/>
  <c r="S71" i="4"/>
  <c r="T71" i="4"/>
  <c r="U71" i="4"/>
  <c r="Q72" i="4"/>
  <c r="R72" i="4"/>
  <c r="S72" i="4"/>
  <c r="T72" i="4"/>
  <c r="U72" i="4"/>
  <c r="Q73" i="4"/>
  <c r="R73" i="4"/>
  <c r="S73" i="4"/>
  <c r="T73" i="4"/>
  <c r="U73" i="4"/>
  <c r="Q74" i="4"/>
  <c r="R74" i="4"/>
  <c r="S74" i="4"/>
  <c r="T74" i="4"/>
  <c r="U74" i="4"/>
  <c r="Q75" i="4"/>
  <c r="R75" i="4"/>
  <c r="S75" i="4"/>
  <c r="T75" i="4"/>
  <c r="U75" i="4"/>
  <c r="Q76" i="4"/>
  <c r="R76" i="4"/>
  <c r="S76" i="4"/>
  <c r="T76" i="4"/>
  <c r="U76" i="4"/>
  <c r="Q77" i="4"/>
  <c r="R77" i="4"/>
  <c r="S77" i="4"/>
  <c r="T77" i="4"/>
  <c r="U77" i="4"/>
  <c r="Q78" i="4"/>
  <c r="R78" i="4"/>
  <c r="S78" i="4"/>
  <c r="T78" i="4"/>
  <c r="U78" i="4"/>
  <c r="Q79" i="4"/>
  <c r="R79" i="4"/>
  <c r="S79" i="4"/>
  <c r="T79" i="4"/>
  <c r="U79" i="4"/>
  <c r="Q80" i="4"/>
  <c r="R80" i="4"/>
  <c r="S80" i="4"/>
  <c r="T80" i="4"/>
  <c r="U80" i="4"/>
  <c r="Q81" i="4"/>
  <c r="R81" i="4"/>
  <c r="S81" i="4"/>
  <c r="T81" i="4"/>
  <c r="U81" i="4"/>
  <c r="Q82" i="4"/>
  <c r="R82" i="4"/>
  <c r="S82" i="4"/>
  <c r="T82" i="4"/>
  <c r="U82" i="4"/>
  <c r="Q83" i="4"/>
  <c r="R83" i="4"/>
  <c r="S83" i="4"/>
  <c r="T83" i="4"/>
  <c r="U83" i="4"/>
  <c r="Q84" i="4"/>
  <c r="R84" i="4"/>
  <c r="S84" i="4"/>
  <c r="T84" i="4"/>
  <c r="U84" i="4"/>
  <c r="Q85" i="4"/>
  <c r="R85" i="4"/>
  <c r="S85" i="4"/>
  <c r="T85" i="4"/>
  <c r="U85" i="4"/>
  <c r="Q13" i="4"/>
  <c r="R13" i="4"/>
  <c r="S13" i="4"/>
  <c r="T13" i="4"/>
  <c r="U13" i="4"/>
  <c r="Q14" i="4"/>
  <c r="R14" i="4"/>
  <c r="S14" i="4"/>
  <c r="T14" i="4"/>
  <c r="U14" i="4"/>
  <c r="Q15" i="4"/>
  <c r="R15" i="4"/>
  <c r="S15" i="4"/>
  <c r="T15" i="4"/>
  <c r="U15" i="4"/>
  <c r="Q16" i="4"/>
  <c r="R16" i="4"/>
  <c r="S16" i="4"/>
  <c r="T16" i="4"/>
  <c r="U16" i="4"/>
  <c r="Q17" i="4"/>
  <c r="R17" i="4"/>
  <c r="S17" i="4"/>
  <c r="T17" i="4"/>
  <c r="U17" i="4"/>
  <c r="Q18" i="4"/>
  <c r="R18" i="4"/>
  <c r="S18" i="4"/>
  <c r="T18" i="4"/>
  <c r="U18" i="4"/>
  <c r="Q19" i="4"/>
  <c r="R19" i="4"/>
  <c r="S19" i="4"/>
  <c r="T19" i="4"/>
  <c r="U19" i="4"/>
  <c r="Q20" i="4"/>
  <c r="R20" i="4"/>
  <c r="S20" i="4"/>
  <c r="T20" i="4"/>
  <c r="U20" i="4"/>
  <c r="Q8" i="4"/>
  <c r="R8" i="4"/>
  <c r="Q9" i="4"/>
  <c r="R9" i="4"/>
  <c r="H13" i="4"/>
  <c r="I13" i="4"/>
  <c r="J13" i="4"/>
  <c r="K13" i="4"/>
  <c r="G13" i="4"/>
  <c r="G14" i="4"/>
  <c r="H14" i="4"/>
  <c r="I14" i="4"/>
  <c r="J14" i="4"/>
  <c r="K14" i="4"/>
  <c r="G15" i="4"/>
  <c r="H15" i="4"/>
  <c r="I15" i="4"/>
  <c r="J15" i="4"/>
  <c r="K15" i="4"/>
  <c r="G16" i="4"/>
  <c r="H16" i="4"/>
  <c r="I16" i="4"/>
  <c r="J16" i="4"/>
  <c r="K16" i="4"/>
  <c r="G17" i="4"/>
  <c r="H17" i="4"/>
  <c r="I17" i="4"/>
  <c r="J17" i="4"/>
  <c r="K17" i="4"/>
  <c r="G18" i="4"/>
  <c r="H18" i="4"/>
  <c r="I18" i="4"/>
  <c r="J18" i="4"/>
  <c r="K18" i="4"/>
  <c r="G19" i="4"/>
  <c r="H19" i="4"/>
  <c r="I19" i="4"/>
  <c r="J19" i="4"/>
  <c r="K19" i="4"/>
  <c r="G20" i="4"/>
  <c r="H20" i="4"/>
  <c r="I20" i="4"/>
  <c r="J20" i="4"/>
  <c r="K20" i="4"/>
  <c r="G21" i="4"/>
  <c r="H21" i="4"/>
  <c r="I21" i="4"/>
  <c r="J21" i="4"/>
  <c r="K21" i="4"/>
  <c r="G22" i="4"/>
  <c r="H22" i="4"/>
  <c r="I22" i="4"/>
  <c r="J22" i="4"/>
  <c r="K22" i="4"/>
  <c r="G23" i="4"/>
  <c r="H23" i="4"/>
  <c r="I23" i="4"/>
  <c r="J23" i="4"/>
  <c r="K23" i="4"/>
  <c r="G24" i="4"/>
  <c r="H24" i="4"/>
  <c r="I24" i="4"/>
  <c r="J24" i="4"/>
  <c r="K24" i="4"/>
  <c r="G25" i="4"/>
  <c r="H25" i="4"/>
  <c r="I25" i="4"/>
  <c r="J25" i="4"/>
  <c r="K25" i="4"/>
  <c r="G26" i="4"/>
  <c r="H26" i="4"/>
  <c r="I26" i="4"/>
  <c r="J26" i="4"/>
  <c r="K26" i="4"/>
  <c r="G27" i="4"/>
  <c r="H27" i="4"/>
  <c r="I27" i="4"/>
  <c r="J27" i="4"/>
  <c r="K27" i="4"/>
  <c r="G28" i="4"/>
  <c r="H28" i="4"/>
  <c r="I28" i="4"/>
  <c r="J28" i="4"/>
  <c r="K28" i="4"/>
  <c r="G29" i="4"/>
  <c r="H29" i="4"/>
  <c r="I29" i="4"/>
  <c r="J29" i="4"/>
  <c r="K29" i="4"/>
  <c r="G30" i="4"/>
  <c r="H30" i="4"/>
  <c r="I30" i="4"/>
  <c r="J30" i="4"/>
  <c r="K30" i="4"/>
  <c r="G31" i="4"/>
  <c r="H31" i="4"/>
  <c r="I31" i="4"/>
  <c r="J31" i="4"/>
  <c r="K31" i="4"/>
  <c r="G32" i="4"/>
  <c r="H32" i="4"/>
  <c r="I32" i="4"/>
  <c r="J32" i="4"/>
  <c r="K32" i="4"/>
  <c r="G33" i="4"/>
  <c r="H33" i="4"/>
  <c r="I33" i="4"/>
  <c r="J33" i="4"/>
  <c r="K33" i="4"/>
  <c r="G34" i="4"/>
  <c r="H34" i="4"/>
  <c r="I34" i="4"/>
  <c r="J34" i="4"/>
  <c r="K34" i="4"/>
  <c r="G35" i="4"/>
  <c r="H35" i="4"/>
  <c r="I35" i="4"/>
  <c r="J35" i="4"/>
  <c r="K35" i="4"/>
  <c r="G36" i="4"/>
  <c r="H36" i="4"/>
  <c r="I36" i="4"/>
  <c r="J36" i="4"/>
  <c r="K36" i="4"/>
  <c r="G37" i="4"/>
  <c r="H37" i="4"/>
  <c r="I37" i="4"/>
  <c r="J37" i="4"/>
  <c r="K37" i="4"/>
  <c r="G38" i="4"/>
  <c r="H38" i="4"/>
  <c r="I38" i="4"/>
  <c r="J38" i="4"/>
  <c r="K38" i="4"/>
  <c r="G39" i="4"/>
  <c r="H39" i="4"/>
  <c r="I39" i="4"/>
  <c r="J39" i="4"/>
  <c r="K39" i="4"/>
  <c r="G40" i="4"/>
  <c r="H40" i="4"/>
  <c r="I40" i="4"/>
  <c r="J40" i="4"/>
  <c r="K40" i="4"/>
  <c r="G41" i="4"/>
  <c r="H41" i="4"/>
  <c r="I41" i="4"/>
  <c r="J41" i="4"/>
  <c r="K41" i="4"/>
  <c r="G42" i="4"/>
  <c r="H42" i="4"/>
  <c r="I42" i="4"/>
  <c r="J42" i="4"/>
  <c r="K42" i="4"/>
  <c r="G43" i="4"/>
  <c r="H43" i="4"/>
  <c r="I43" i="4"/>
  <c r="J43" i="4"/>
  <c r="K43" i="4"/>
  <c r="G44" i="4"/>
  <c r="H44" i="4"/>
  <c r="I44" i="4"/>
  <c r="J44" i="4"/>
  <c r="K44" i="4"/>
  <c r="G45" i="4"/>
  <c r="H45" i="4"/>
  <c r="I45" i="4"/>
  <c r="J45" i="4"/>
  <c r="K45" i="4"/>
  <c r="G46" i="4"/>
  <c r="H46" i="4"/>
  <c r="I46" i="4"/>
  <c r="J46" i="4"/>
  <c r="K46" i="4"/>
  <c r="G47" i="4"/>
  <c r="H47" i="4"/>
  <c r="I47" i="4"/>
  <c r="J47" i="4"/>
  <c r="K47" i="4"/>
  <c r="G48" i="4"/>
  <c r="H48" i="4"/>
  <c r="I48" i="4"/>
  <c r="J48" i="4"/>
  <c r="K48" i="4"/>
  <c r="G49" i="4"/>
  <c r="H49" i="4"/>
  <c r="I49" i="4"/>
  <c r="J49" i="4"/>
  <c r="K49" i="4"/>
  <c r="G50" i="4"/>
  <c r="H50" i="4"/>
  <c r="I50" i="4"/>
  <c r="J50" i="4"/>
  <c r="K50" i="4"/>
  <c r="G51" i="4"/>
  <c r="H51" i="4"/>
  <c r="I51" i="4"/>
  <c r="J51" i="4"/>
  <c r="K51" i="4"/>
  <c r="G52" i="4"/>
  <c r="H52" i="4"/>
  <c r="I52" i="4"/>
  <c r="J52" i="4"/>
  <c r="K52" i="4"/>
  <c r="G53" i="4"/>
  <c r="H53" i="4"/>
  <c r="I53" i="4"/>
  <c r="J53" i="4"/>
  <c r="K53" i="4"/>
  <c r="G54" i="4"/>
  <c r="H54" i="4"/>
  <c r="I54" i="4"/>
  <c r="J54" i="4"/>
  <c r="K54" i="4"/>
  <c r="G55" i="4"/>
  <c r="H55" i="4"/>
  <c r="I55" i="4"/>
  <c r="J55" i="4"/>
  <c r="K55" i="4"/>
  <c r="G56" i="4"/>
  <c r="H56" i="4"/>
  <c r="I56" i="4"/>
  <c r="J56" i="4"/>
  <c r="K56" i="4"/>
  <c r="G57" i="4"/>
  <c r="H57" i="4"/>
  <c r="I57" i="4"/>
  <c r="J57" i="4"/>
  <c r="K57" i="4"/>
  <c r="G58" i="4"/>
  <c r="H58" i="4"/>
  <c r="I58" i="4"/>
  <c r="J58" i="4"/>
  <c r="K58" i="4"/>
  <c r="G59" i="4"/>
  <c r="H59" i="4"/>
  <c r="I59" i="4"/>
  <c r="J59" i="4"/>
  <c r="K59" i="4"/>
  <c r="G60" i="4"/>
  <c r="H60" i="4"/>
  <c r="I60" i="4"/>
  <c r="J60" i="4"/>
  <c r="K60" i="4"/>
  <c r="G61" i="4"/>
  <c r="H61" i="4"/>
  <c r="I61" i="4"/>
  <c r="J61" i="4"/>
  <c r="K61" i="4"/>
  <c r="G62" i="4"/>
  <c r="H62" i="4"/>
  <c r="I62" i="4"/>
  <c r="J62" i="4"/>
  <c r="K62" i="4"/>
  <c r="G63" i="4"/>
  <c r="H63" i="4"/>
  <c r="I63" i="4"/>
  <c r="J63" i="4"/>
  <c r="K63" i="4"/>
  <c r="G64" i="4"/>
  <c r="H64" i="4"/>
  <c r="I64" i="4"/>
  <c r="J64" i="4"/>
  <c r="K64" i="4"/>
  <c r="G65" i="4"/>
  <c r="H65" i="4"/>
  <c r="I65" i="4"/>
  <c r="J65" i="4"/>
  <c r="K65" i="4"/>
  <c r="G66" i="4"/>
  <c r="H66" i="4"/>
  <c r="I66" i="4"/>
  <c r="J66" i="4"/>
  <c r="K66" i="4"/>
  <c r="G67" i="4"/>
  <c r="H67" i="4"/>
  <c r="I67" i="4"/>
  <c r="J67" i="4"/>
  <c r="K67" i="4"/>
  <c r="G68" i="4"/>
  <c r="H68" i="4"/>
  <c r="I68" i="4"/>
  <c r="J68" i="4"/>
  <c r="K68" i="4"/>
  <c r="G69" i="4"/>
  <c r="H69" i="4"/>
  <c r="I69" i="4"/>
  <c r="J69" i="4"/>
  <c r="K69" i="4"/>
  <c r="G70" i="4"/>
  <c r="H70" i="4"/>
  <c r="I70" i="4"/>
  <c r="J70" i="4"/>
  <c r="K70" i="4"/>
  <c r="G71" i="4"/>
  <c r="H71" i="4"/>
  <c r="I71" i="4"/>
  <c r="J71" i="4"/>
  <c r="K71" i="4"/>
  <c r="G72" i="4"/>
  <c r="H72" i="4"/>
  <c r="I72" i="4"/>
  <c r="J72" i="4"/>
  <c r="K72" i="4"/>
  <c r="G73" i="4"/>
  <c r="H73" i="4"/>
  <c r="I73" i="4"/>
  <c r="J73" i="4"/>
  <c r="K73" i="4"/>
  <c r="G74" i="4"/>
  <c r="H74" i="4"/>
  <c r="I74" i="4"/>
  <c r="J74" i="4"/>
  <c r="K74" i="4"/>
  <c r="G75" i="4"/>
  <c r="H75" i="4"/>
  <c r="I75" i="4"/>
  <c r="J75" i="4"/>
  <c r="K75" i="4"/>
  <c r="G76" i="4"/>
  <c r="H76" i="4"/>
  <c r="I76" i="4"/>
  <c r="J76" i="4"/>
  <c r="K76" i="4"/>
  <c r="G77" i="4"/>
  <c r="H77" i="4"/>
  <c r="I77" i="4"/>
  <c r="J77" i="4"/>
  <c r="K77" i="4"/>
  <c r="G78" i="4"/>
  <c r="H78" i="4"/>
  <c r="I78" i="4"/>
  <c r="J78" i="4"/>
  <c r="K78" i="4"/>
  <c r="G79" i="4"/>
  <c r="H79" i="4"/>
  <c r="I79" i="4"/>
  <c r="J79" i="4"/>
  <c r="K79" i="4"/>
  <c r="G80" i="4"/>
  <c r="H80" i="4"/>
  <c r="I80" i="4"/>
  <c r="J80" i="4"/>
  <c r="K80" i="4"/>
  <c r="G81" i="4"/>
  <c r="H81" i="4"/>
  <c r="I81" i="4"/>
  <c r="J81" i="4"/>
  <c r="K81" i="4"/>
  <c r="G82" i="4"/>
  <c r="H82" i="4"/>
  <c r="I82" i="4"/>
  <c r="J82" i="4"/>
  <c r="K82" i="4"/>
  <c r="G83" i="4"/>
  <c r="H83" i="4"/>
  <c r="I83" i="4"/>
  <c r="J83" i="4"/>
  <c r="K83" i="4"/>
  <c r="G84" i="4"/>
  <c r="H84" i="4"/>
  <c r="I84" i="4"/>
  <c r="J84" i="4"/>
  <c r="K84" i="4"/>
  <c r="G85" i="4"/>
  <c r="H85" i="4"/>
  <c r="I85" i="4"/>
  <c r="J85" i="4"/>
  <c r="K85" i="4"/>
  <c r="G4" i="4"/>
  <c r="H4" i="4"/>
  <c r="I4" i="4"/>
  <c r="J4" i="4"/>
  <c r="K4" i="4"/>
  <c r="G5" i="4"/>
  <c r="H5" i="4"/>
  <c r="I5" i="4"/>
  <c r="J5" i="4"/>
  <c r="K5" i="4"/>
  <c r="G6" i="4"/>
  <c r="H6" i="4"/>
  <c r="I6" i="4"/>
  <c r="J6" i="4"/>
  <c r="K6" i="4"/>
  <c r="G7" i="4"/>
  <c r="H7" i="4"/>
  <c r="I7" i="4"/>
  <c r="J7" i="4"/>
  <c r="K7" i="4"/>
  <c r="G8" i="4"/>
  <c r="H8" i="4"/>
  <c r="I8" i="4"/>
  <c r="J8" i="4"/>
  <c r="K8" i="4"/>
  <c r="G9" i="4"/>
  <c r="H9" i="4"/>
  <c r="I9" i="4"/>
  <c r="J9" i="4"/>
  <c r="K9" i="4"/>
  <c r="H3" i="4"/>
  <c r="I3" i="4"/>
  <c r="J3" i="4"/>
  <c r="K3" i="4"/>
  <c r="G3" i="4"/>
  <c r="V25" i="4"/>
  <c r="W25" i="4"/>
  <c r="X25" i="4"/>
  <c r="Y25" i="4"/>
  <c r="Z25" i="4"/>
  <c r="V26" i="4"/>
  <c r="W26" i="4"/>
  <c r="X26" i="4"/>
  <c r="Y26" i="4"/>
  <c r="Z26" i="4"/>
  <c r="V27" i="4"/>
  <c r="W27" i="4"/>
  <c r="X27" i="4"/>
  <c r="Y27" i="4"/>
  <c r="Z27" i="4"/>
  <c r="V28" i="4"/>
  <c r="W28" i="4"/>
  <c r="X28" i="4"/>
  <c r="Y28" i="4"/>
  <c r="Z28" i="4"/>
  <c r="V29" i="4"/>
  <c r="W29" i="4"/>
  <c r="X29" i="4"/>
  <c r="Y29" i="4"/>
  <c r="Z29" i="4"/>
  <c r="V30" i="4"/>
  <c r="W30" i="4"/>
  <c r="X30" i="4"/>
  <c r="Y30" i="4"/>
  <c r="Z30" i="4"/>
  <c r="V31" i="4"/>
  <c r="W31" i="4"/>
  <c r="X31" i="4"/>
  <c r="Y31" i="4"/>
  <c r="Z31" i="4"/>
  <c r="V32" i="4"/>
  <c r="W32" i="4"/>
  <c r="X32" i="4"/>
  <c r="Y32" i="4"/>
  <c r="Z32" i="4"/>
  <c r="V33" i="4"/>
  <c r="W33" i="4"/>
  <c r="X33" i="4"/>
  <c r="Y33" i="4"/>
  <c r="Z33" i="4"/>
  <c r="V34" i="4"/>
  <c r="W34" i="4"/>
  <c r="X34" i="4"/>
  <c r="Y34" i="4"/>
  <c r="Z34" i="4"/>
  <c r="V35" i="4"/>
  <c r="W35" i="4"/>
  <c r="X35" i="4"/>
  <c r="Y35" i="4"/>
  <c r="Z35" i="4"/>
  <c r="V36" i="4"/>
  <c r="W36" i="4"/>
  <c r="X36" i="4"/>
  <c r="Y36" i="4"/>
  <c r="Z36" i="4"/>
  <c r="V37" i="4"/>
  <c r="W37" i="4"/>
  <c r="X37" i="4"/>
  <c r="Y37" i="4"/>
  <c r="Z37" i="4"/>
  <c r="V38" i="4"/>
  <c r="W38" i="4"/>
  <c r="X38" i="4"/>
  <c r="Y38" i="4"/>
  <c r="Z38" i="4"/>
  <c r="V39" i="4"/>
  <c r="W39" i="4"/>
  <c r="X39" i="4"/>
  <c r="Y39" i="4"/>
  <c r="Z39" i="4"/>
  <c r="V40" i="4"/>
  <c r="W40" i="4"/>
  <c r="X40" i="4"/>
  <c r="Y40" i="4"/>
  <c r="Z40" i="4"/>
  <c r="V41" i="4"/>
  <c r="W41" i="4"/>
  <c r="X41" i="4"/>
  <c r="Y41" i="4"/>
  <c r="Z41" i="4"/>
  <c r="V42" i="4"/>
  <c r="W42" i="4"/>
  <c r="X42" i="4"/>
  <c r="Y42" i="4"/>
  <c r="Z42" i="4"/>
  <c r="V43" i="4"/>
  <c r="W43" i="4"/>
  <c r="X43" i="4"/>
  <c r="Y43" i="4"/>
  <c r="Z43" i="4"/>
  <c r="V44" i="4"/>
  <c r="W44" i="4"/>
  <c r="X44" i="4"/>
  <c r="Y44" i="4"/>
  <c r="Z44" i="4"/>
  <c r="V45" i="4"/>
  <c r="W45" i="4"/>
  <c r="X45" i="4"/>
  <c r="Y45" i="4"/>
  <c r="Z45" i="4"/>
  <c r="V46" i="4"/>
  <c r="W46" i="4"/>
  <c r="X46" i="4"/>
  <c r="Y46" i="4"/>
  <c r="Z46" i="4"/>
  <c r="V47" i="4"/>
  <c r="W47" i="4"/>
  <c r="X47" i="4"/>
  <c r="Y47" i="4"/>
  <c r="Z47" i="4"/>
  <c r="V48" i="4"/>
  <c r="W48" i="4"/>
  <c r="X48" i="4"/>
  <c r="Y48" i="4"/>
  <c r="Z48" i="4"/>
  <c r="V49" i="4"/>
  <c r="W49" i="4"/>
  <c r="X49" i="4"/>
  <c r="Y49" i="4"/>
  <c r="Z49" i="4"/>
  <c r="V50" i="4"/>
  <c r="W50" i="4"/>
  <c r="X50" i="4"/>
  <c r="Y50" i="4"/>
  <c r="Z50" i="4"/>
  <c r="V51" i="4"/>
  <c r="W51" i="4"/>
  <c r="X51" i="4"/>
  <c r="Y51" i="4"/>
  <c r="Z51" i="4"/>
  <c r="V52" i="4"/>
  <c r="W52" i="4"/>
  <c r="X52" i="4"/>
  <c r="Y52" i="4"/>
  <c r="Z52" i="4"/>
  <c r="V53" i="4"/>
  <c r="W53" i="4"/>
  <c r="X53" i="4"/>
  <c r="Y53" i="4"/>
  <c r="Z53" i="4"/>
  <c r="V54" i="4"/>
  <c r="W54" i="4"/>
  <c r="X54" i="4"/>
  <c r="Y54" i="4"/>
  <c r="Z54" i="4"/>
  <c r="V55" i="4"/>
  <c r="W55" i="4"/>
  <c r="X55" i="4"/>
  <c r="Y55" i="4"/>
  <c r="Z55" i="4"/>
  <c r="V56" i="4"/>
  <c r="W56" i="4"/>
  <c r="X56" i="4"/>
  <c r="Y56" i="4"/>
  <c r="Z56" i="4"/>
  <c r="V57" i="4"/>
  <c r="W57" i="4"/>
  <c r="X57" i="4"/>
  <c r="Y57" i="4"/>
  <c r="Z57" i="4"/>
  <c r="V58" i="4"/>
  <c r="W58" i="4"/>
  <c r="X58" i="4"/>
  <c r="Y58" i="4"/>
  <c r="Z58" i="4"/>
  <c r="V59" i="4"/>
  <c r="W59" i="4"/>
  <c r="X59" i="4"/>
  <c r="Y59" i="4"/>
  <c r="Z59" i="4"/>
  <c r="V60" i="4"/>
  <c r="W60" i="4"/>
  <c r="X60" i="4"/>
  <c r="Y60" i="4"/>
  <c r="Z60" i="4"/>
  <c r="V61" i="4"/>
  <c r="W61" i="4"/>
  <c r="X61" i="4"/>
  <c r="Y61" i="4"/>
  <c r="Z61" i="4"/>
  <c r="V62" i="4"/>
  <c r="W62" i="4"/>
  <c r="X62" i="4"/>
  <c r="Y62" i="4"/>
  <c r="Z62" i="4"/>
  <c r="V63" i="4"/>
  <c r="W63" i="4"/>
  <c r="X63" i="4"/>
  <c r="Y63" i="4"/>
  <c r="Z63" i="4"/>
  <c r="V64" i="4"/>
  <c r="W64" i="4"/>
  <c r="X64" i="4"/>
  <c r="Y64" i="4"/>
  <c r="Z64" i="4"/>
  <c r="V65" i="4"/>
  <c r="W65" i="4"/>
  <c r="X65" i="4"/>
  <c r="Y65" i="4"/>
  <c r="Z65" i="4"/>
  <c r="V66" i="4"/>
  <c r="W66" i="4"/>
  <c r="X66" i="4"/>
  <c r="Y66" i="4"/>
  <c r="Z66" i="4"/>
  <c r="V67" i="4"/>
  <c r="W67" i="4"/>
  <c r="X67" i="4"/>
  <c r="Y67" i="4"/>
  <c r="Z67" i="4"/>
  <c r="V68" i="4"/>
  <c r="W68" i="4"/>
  <c r="X68" i="4"/>
  <c r="Y68" i="4"/>
  <c r="Z68" i="4"/>
  <c r="V69" i="4"/>
  <c r="W69" i="4"/>
  <c r="X69" i="4"/>
  <c r="Y69" i="4"/>
  <c r="Z69" i="4"/>
  <c r="V70" i="4"/>
  <c r="W70" i="4"/>
  <c r="X70" i="4"/>
  <c r="Y70" i="4"/>
  <c r="Z70" i="4"/>
  <c r="V71" i="4"/>
  <c r="W71" i="4"/>
  <c r="X71" i="4"/>
  <c r="Y71" i="4"/>
  <c r="Z71" i="4"/>
  <c r="V72" i="4"/>
  <c r="W72" i="4"/>
  <c r="X72" i="4"/>
  <c r="Y72" i="4"/>
  <c r="Z72" i="4"/>
  <c r="V73" i="4"/>
  <c r="W73" i="4"/>
  <c r="X73" i="4"/>
  <c r="Y73" i="4"/>
  <c r="Z73" i="4"/>
  <c r="V74" i="4"/>
  <c r="W74" i="4"/>
  <c r="X74" i="4"/>
  <c r="Y74" i="4"/>
  <c r="Z74" i="4"/>
  <c r="V75" i="4"/>
  <c r="W75" i="4"/>
  <c r="X75" i="4"/>
  <c r="Y75" i="4"/>
  <c r="Z75" i="4"/>
  <c r="V76" i="4"/>
  <c r="W76" i="4"/>
  <c r="X76" i="4"/>
  <c r="Y76" i="4"/>
  <c r="Z76" i="4"/>
  <c r="V77" i="4"/>
  <c r="W77" i="4"/>
  <c r="X77" i="4"/>
  <c r="Y77" i="4"/>
  <c r="Z77" i="4"/>
  <c r="V78" i="4"/>
  <c r="W78" i="4"/>
  <c r="X78" i="4"/>
  <c r="Y78" i="4"/>
  <c r="Z78" i="4"/>
  <c r="V79" i="4"/>
  <c r="W79" i="4"/>
  <c r="X79" i="4"/>
  <c r="Y79" i="4"/>
  <c r="Z79" i="4"/>
  <c r="V80" i="4"/>
  <c r="W80" i="4"/>
  <c r="X80" i="4"/>
  <c r="Y80" i="4"/>
  <c r="Z80" i="4"/>
  <c r="V81" i="4"/>
  <c r="W81" i="4"/>
  <c r="X81" i="4"/>
  <c r="Y81" i="4"/>
  <c r="Z81" i="4"/>
  <c r="V82" i="4"/>
  <c r="W82" i="4"/>
  <c r="X82" i="4"/>
  <c r="Y82" i="4"/>
  <c r="Z82" i="4"/>
  <c r="V83" i="4"/>
  <c r="W83" i="4"/>
  <c r="X83" i="4"/>
  <c r="Y83" i="4"/>
  <c r="Z83" i="4"/>
  <c r="V84" i="4"/>
  <c r="W84" i="4"/>
  <c r="X84" i="4"/>
  <c r="Y84" i="4"/>
  <c r="Z84" i="4"/>
  <c r="V85" i="4"/>
  <c r="W85" i="4"/>
  <c r="X85" i="4"/>
  <c r="Y85" i="4"/>
  <c r="Z85" i="4"/>
  <c r="L4" i="4"/>
  <c r="M4" i="4"/>
  <c r="N4" i="4"/>
  <c r="O4" i="4"/>
  <c r="P4" i="4"/>
  <c r="L5" i="4"/>
  <c r="M5" i="4"/>
  <c r="N5" i="4"/>
  <c r="O5" i="4"/>
  <c r="P5" i="4"/>
  <c r="L6" i="4"/>
  <c r="M6" i="4"/>
  <c r="N6" i="4"/>
  <c r="O6" i="4"/>
  <c r="P6" i="4"/>
  <c r="L7" i="4"/>
  <c r="M7" i="4"/>
  <c r="N7" i="4"/>
  <c r="O7" i="4"/>
  <c r="P7" i="4"/>
  <c r="L8" i="4"/>
  <c r="M8" i="4"/>
  <c r="N8" i="4"/>
  <c r="O8" i="4"/>
  <c r="P8" i="4"/>
  <c r="L9" i="4"/>
  <c r="M9" i="4"/>
  <c r="N9" i="4"/>
  <c r="O9" i="4"/>
  <c r="P9" i="4"/>
  <c r="L10" i="4"/>
  <c r="M10" i="4"/>
  <c r="N10" i="4"/>
  <c r="O10" i="4"/>
  <c r="P10" i="4"/>
  <c r="L11" i="4"/>
  <c r="M11" i="4"/>
  <c r="N11" i="4"/>
  <c r="O11" i="4"/>
  <c r="P11" i="4"/>
  <c r="L12" i="4"/>
  <c r="M12" i="4"/>
  <c r="N12" i="4"/>
  <c r="O12" i="4"/>
  <c r="P12" i="4"/>
  <c r="L13" i="4"/>
  <c r="M13" i="4"/>
  <c r="N13" i="4"/>
  <c r="O13" i="4"/>
  <c r="P13" i="4"/>
  <c r="L14" i="4"/>
  <c r="M14" i="4"/>
  <c r="N14" i="4"/>
  <c r="O14" i="4"/>
  <c r="P14" i="4"/>
  <c r="L15" i="4"/>
  <c r="M15" i="4"/>
  <c r="N15" i="4"/>
  <c r="O15" i="4"/>
  <c r="P15" i="4"/>
  <c r="L16" i="4"/>
  <c r="M16" i="4"/>
  <c r="N16" i="4"/>
  <c r="O16" i="4"/>
  <c r="P16" i="4"/>
  <c r="L17" i="4"/>
  <c r="M17" i="4"/>
  <c r="N17" i="4"/>
  <c r="O17" i="4"/>
  <c r="P17" i="4"/>
  <c r="L18" i="4"/>
  <c r="M18" i="4"/>
  <c r="N18" i="4"/>
  <c r="O18" i="4"/>
  <c r="P18" i="4"/>
  <c r="L19" i="4"/>
  <c r="M19" i="4"/>
  <c r="N19" i="4"/>
  <c r="O19" i="4"/>
  <c r="P19" i="4"/>
  <c r="L20" i="4"/>
  <c r="M20" i="4"/>
  <c r="N20" i="4"/>
  <c r="O20" i="4"/>
  <c r="P20" i="4"/>
  <c r="L21" i="4"/>
  <c r="M21" i="4"/>
  <c r="N21" i="4"/>
  <c r="O21" i="4"/>
  <c r="P21" i="4"/>
  <c r="L22" i="4"/>
  <c r="M22" i="4"/>
  <c r="N22" i="4"/>
  <c r="O22" i="4"/>
  <c r="P22" i="4"/>
  <c r="L23" i="4"/>
  <c r="M23" i="4"/>
  <c r="N23" i="4"/>
  <c r="O23" i="4"/>
  <c r="P23" i="4"/>
  <c r="L24" i="4"/>
  <c r="M24" i="4"/>
  <c r="N24" i="4"/>
  <c r="O24" i="4"/>
  <c r="P24" i="4"/>
  <c r="L25" i="4"/>
  <c r="M25" i="4"/>
  <c r="N25" i="4"/>
  <c r="O25" i="4"/>
  <c r="P25" i="4"/>
  <c r="L26" i="4"/>
  <c r="M26" i="4"/>
  <c r="N26" i="4"/>
  <c r="O26" i="4"/>
  <c r="P26" i="4"/>
  <c r="L27" i="4"/>
  <c r="M27" i="4"/>
  <c r="N27" i="4"/>
  <c r="O27" i="4"/>
  <c r="P27" i="4"/>
  <c r="L28" i="4"/>
  <c r="M28" i="4"/>
  <c r="N28" i="4"/>
  <c r="O28" i="4"/>
  <c r="P28" i="4"/>
  <c r="L29" i="4"/>
  <c r="M29" i="4"/>
  <c r="N29" i="4"/>
  <c r="O29" i="4"/>
  <c r="P29" i="4"/>
  <c r="L30" i="4"/>
  <c r="M30" i="4"/>
  <c r="N30" i="4"/>
  <c r="O30" i="4"/>
  <c r="P30" i="4"/>
  <c r="L31" i="4"/>
  <c r="M31" i="4"/>
  <c r="N31" i="4"/>
  <c r="O31" i="4"/>
  <c r="P31" i="4"/>
  <c r="L32" i="4"/>
  <c r="M32" i="4"/>
  <c r="N32" i="4"/>
  <c r="O32" i="4"/>
  <c r="P32" i="4"/>
  <c r="L33" i="4"/>
  <c r="M33" i="4"/>
  <c r="N33" i="4"/>
  <c r="O33" i="4"/>
  <c r="P33" i="4"/>
  <c r="L34" i="4"/>
  <c r="M34" i="4"/>
  <c r="N34" i="4"/>
  <c r="O34" i="4"/>
  <c r="P34" i="4"/>
  <c r="L35" i="4"/>
  <c r="M35" i="4"/>
  <c r="N35" i="4"/>
  <c r="O35" i="4"/>
  <c r="P35" i="4"/>
  <c r="L36" i="4"/>
  <c r="M36" i="4"/>
  <c r="N36" i="4"/>
  <c r="O36" i="4"/>
  <c r="P36" i="4"/>
  <c r="L37" i="4"/>
  <c r="M37" i="4"/>
  <c r="N37" i="4"/>
  <c r="O37" i="4"/>
  <c r="P37" i="4"/>
  <c r="L38" i="4"/>
  <c r="M38" i="4"/>
  <c r="N38" i="4"/>
  <c r="O38" i="4"/>
  <c r="P38" i="4"/>
  <c r="L39" i="4"/>
  <c r="M39" i="4"/>
  <c r="N39" i="4"/>
  <c r="O39" i="4"/>
  <c r="P39" i="4"/>
  <c r="L40" i="4"/>
  <c r="M40" i="4"/>
  <c r="N40" i="4"/>
  <c r="O40" i="4"/>
  <c r="P40" i="4"/>
  <c r="L41" i="4"/>
  <c r="M41" i="4"/>
  <c r="N41" i="4"/>
  <c r="O41" i="4"/>
  <c r="P41" i="4"/>
  <c r="L42" i="4"/>
  <c r="M42" i="4"/>
  <c r="N42" i="4"/>
  <c r="O42" i="4"/>
  <c r="P42" i="4"/>
  <c r="L43" i="4"/>
  <c r="M43" i="4"/>
  <c r="N43" i="4"/>
  <c r="O43" i="4"/>
  <c r="P43" i="4"/>
  <c r="L44" i="4"/>
  <c r="M44" i="4"/>
  <c r="N44" i="4"/>
  <c r="O44" i="4"/>
  <c r="P44" i="4"/>
  <c r="L45" i="4"/>
  <c r="M45" i="4"/>
  <c r="N45" i="4"/>
  <c r="O45" i="4"/>
  <c r="P45" i="4"/>
  <c r="L46" i="4"/>
  <c r="M46" i="4"/>
  <c r="N46" i="4"/>
  <c r="O46" i="4"/>
  <c r="P46" i="4"/>
  <c r="L47" i="4"/>
  <c r="M47" i="4"/>
  <c r="N47" i="4"/>
  <c r="O47" i="4"/>
  <c r="P47" i="4"/>
  <c r="L48" i="4"/>
  <c r="M48" i="4"/>
  <c r="N48" i="4"/>
  <c r="O48" i="4"/>
  <c r="P48" i="4"/>
  <c r="L49" i="4"/>
  <c r="M49" i="4"/>
  <c r="N49" i="4"/>
  <c r="O49" i="4"/>
  <c r="P49" i="4"/>
  <c r="L50" i="4"/>
  <c r="M50" i="4"/>
  <c r="N50" i="4"/>
  <c r="O50" i="4"/>
  <c r="P50" i="4"/>
  <c r="L51" i="4"/>
  <c r="M51" i="4"/>
  <c r="N51" i="4"/>
  <c r="O51" i="4"/>
  <c r="P51" i="4"/>
  <c r="L52" i="4"/>
  <c r="M52" i="4"/>
  <c r="N52" i="4"/>
  <c r="O52" i="4"/>
  <c r="P52" i="4"/>
  <c r="M53" i="4"/>
  <c r="O53" i="4"/>
  <c r="P53" i="4"/>
  <c r="L54" i="4"/>
  <c r="M54" i="4"/>
  <c r="N54" i="4"/>
  <c r="O54" i="4"/>
  <c r="P54" i="4"/>
  <c r="L55" i="4"/>
  <c r="M55" i="4"/>
  <c r="N55" i="4"/>
  <c r="O55" i="4"/>
  <c r="P55" i="4"/>
  <c r="L56" i="4"/>
  <c r="M56" i="4"/>
  <c r="N56" i="4"/>
  <c r="O56" i="4"/>
  <c r="P56" i="4"/>
  <c r="L57" i="4"/>
  <c r="M57" i="4"/>
  <c r="N57" i="4"/>
  <c r="O57" i="4"/>
  <c r="P57" i="4"/>
  <c r="L58" i="4"/>
  <c r="M58" i="4"/>
  <c r="N58" i="4"/>
  <c r="O58" i="4"/>
  <c r="P58" i="4"/>
  <c r="L59" i="4"/>
  <c r="M59" i="4"/>
  <c r="N59" i="4"/>
  <c r="O59" i="4"/>
  <c r="P59" i="4"/>
  <c r="L60" i="4"/>
  <c r="M60" i="4"/>
  <c r="N60" i="4"/>
  <c r="O60" i="4"/>
  <c r="P60" i="4"/>
  <c r="L61" i="4"/>
  <c r="M61" i="4"/>
  <c r="N61" i="4"/>
  <c r="O61" i="4"/>
  <c r="P61" i="4"/>
  <c r="L62" i="4"/>
  <c r="M62" i="4"/>
  <c r="N62" i="4"/>
  <c r="O62" i="4"/>
  <c r="P62" i="4"/>
  <c r="L63" i="4"/>
  <c r="M63" i="4"/>
  <c r="N63" i="4"/>
  <c r="O63" i="4"/>
  <c r="P63" i="4"/>
  <c r="L64" i="4"/>
  <c r="M64" i="4"/>
  <c r="N64" i="4"/>
  <c r="O64" i="4"/>
  <c r="P64" i="4"/>
  <c r="L65" i="4"/>
  <c r="M65" i="4"/>
  <c r="N65" i="4"/>
  <c r="O65" i="4"/>
  <c r="P65" i="4"/>
  <c r="L66" i="4"/>
  <c r="M66" i="4"/>
  <c r="N66" i="4"/>
  <c r="O66" i="4"/>
  <c r="P66" i="4"/>
  <c r="L67" i="4"/>
  <c r="M67" i="4"/>
  <c r="N67" i="4"/>
  <c r="O67" i="4"/>
  <c r="P67" i="4"/>
  <c r="L68" i="4"/>
  <c r="M68" i="4"/>
  <c r="N68" i="4"/>
  <c r="O68" i="4"/>
  <c r="P68" i="4"/>
  <c r="L69" i="4"/>
  <c r="M69" i="4"/>
  <c r="N69" i="4"/>
  <c r="O69" i="4"/>
  <c r="P69" i="4"/>
  <c r="L70" i="4"/>
  <c r="M70" i="4"/>
  <c r="N70" i="4"/>
  <c r="O70" i="4"/>
  <c r="P70" i="4"/>
  <c r="L71" i="4"/>
  <c r="M71" i="4"/>
  <c r="N71" i="4"/>
  <c r="O71" i="4"/>
  <c r="P71" i="4"/>
  <c r="L72" i="4"/>
  <c r="M72" i="4"/>
  <c r="N72" i="4"/>
  <c r="O72" i="4"/>
  <c r="P72" i="4"/>
  <c r="L73" i="4"/>
  <c r="M73" i="4"/>
  <c r="N73" i="4"/>
  <c r="O73" i="4"/>
  <c r="P73" i="4"/>
  <c r="L74" i="4"/>
  <c r="M74" i="4"/>
  <c r="N74" i="4"/>
  <c r="O74" i="4"/>
  <c r="P74" i="4"/>
  <c r="L75" i="4"/>
  <c r="M75" i="4"/>
  <c r="N75" i="4"/>
  <c r="O75" i="4"/>
  <c r="P75" i="4"/>
  <c r="L76" i="4"/>
  <c r="M76" i="4"/>
  <c r="N76" i="4"/>
  <c r="O76" i="4"/>
  <c r="P76" i="4"/>
  <c r="L77" i="4"/>
  <c r="M77" i="4"/>
  <c r="N77" i="4"/>
  <c r="O77" i="4"/>
  <c r="P77" i="4"/>
  <c r="L78" i="4"/>
  <c r="M78" i="4"/>
  <c r="N78" i="4"/>
  <c r="O78" i="4"/>
  <c r="P78" i="4"/>
  <c r="L79" i="4"/>
  <c r="M79" i="4"/>
  <c r="N79" i="4"/>
  <c r="O79" i="4"/>
  <c r="P79" i="4"/>
  <c r="L80" i="4"/>
  <c r="M80" i="4"/>
  <c r="N80" i="4"/>
  <c r="O80" i="4"/>
  <c r="P80" i="4"/>
  <c r="L81" i="4"/>
  <c r="M81" i="4"/>
  <c r="N81" i="4"/>
  <c r="O81" i="4"/>
  <c r="P81" i="4"/>
  <c r="L82" i="4"/>
  <c r="M82" i="4"/>
  <c r="N82" i="4"/>
  <c r="O82" i="4"/>
  <c r="P82" i="4"/>
  <c r="L83" i="4"/>
  <c r="M83" i="4"/>
  <c r="N83" i="4"/>
  <c r="O83" i="4"/>
  <c r="P83" i="4"/>
  <c r="L84" i="4"/>
  <c r="M84" i="4"/>
  <c r="N84" i="4"/>
  <c r="O84" i="4"/>
  <c r="P84" i="4"/>
  <c r="L85" i="4"/>
  <c r="M85" i="4"/>
  <c r="N85" i="4"/>
  <c r="O85" i="4"/>
  <c r="P85" i="4"/>
  <c r="M3" i="4"/>
  <c r="N3" i="4"/>
  <c r="O3" i="4"/>
  <c r="P3" i="4"/>
  <c r="L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3" i="4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AD25" i="1"/>
  <c r="AA71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D52" i="1"/>
  <c r="AC52" i="1"/>
  <c r="AB52" i="1"/>
  <c r="AD51" i="1"/>
  <c r="AC51" i="1"/>
  <c r="AB51" i="1"/>
  <c r="AD50" i="1"/>
  <c r="AC50" i="1"/>
  <c r="AB50" i="1"/>
  <c r="AD46" i="1"/>
  <c r="AC46" i="1"/>
  <c r="AB46" i="1"/>
  <c r="AD45" i="1"/>
  <c r="AC45" i="1"/>
  <c r="AB45" i="1"/>
  <c r="AD36" i="1"/>
  <c r="AD35" i="1"/>
  <c r="AD34" i="1"/>
  <c r="AD33" i="1"/>
  <c r="AD32" i="1"/>
  <c r="AD31" i="1"/>
  <c r="AD30" i="1"/>
  <c r="AD29" i="1"/>
  <c r="AD28" i="1"/>
  <c r="AD27" i="1"/>
  <c r="AD26" i="1"/>
  <c r="AD40" i="1"/>
  <c r="AD39" i="1"/>
  <c r="AD38" i="1"/>
  <c r="AD37" i="1"/>
  <c r="AD44" i="1"/>
  <c r="AD43" i="1"/>
  <c r="AD42" i="1"/>
  <c r="AD41" i="1"/>
  <c r="AC44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9" i="1"/>
  <c r="AB8" i="1"/>
  <c r="AB7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7" i="1"/>
  <c r="AC8" i="1"/>
  <c r="AC9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G16" i="1"/>
  <c r="F16" i="1"/>
  <c r="AA16" i="1" s="1"/>
  <c r="D3" i="4"/>
  <c r="E3" i="4"/>
  <c r="F3" i="4"/>
  <c r="Z2" i="1"/>
  <c r="G14" i="1"/>
  <c r="G15" i="1"/>
  <c r="F15" i="1"/>
  <c r="F14" i="1"/>
  <c r="G13" i="1"/>
  <c r="F13" i="1"/>
  <c r="F9" i="1"/>
  <c r="AA9" i="1" s="1"/>
  <c r="F8" i="1"/>
  <c r="AA8" i="1" s="1"/>
  <c r="G6" i="1"/>
  <c r="F6" i="1" s="1"/>
  <c r="AA6" i="1" s="1"/>
  <c r="F7" i="1"/>
  <c r="AA7" i="1" s="1"/>
  <c r="AN47" i="1"/>
  <c r="AO47" i="1"/>
  <c r="AP47" i="1"/>
  <c r="AQ47" i="1"/>
  <c r="AM47" i="1"/>
  <c r="AB49" i="1"/>
  <c r="AD48" i="1"/>
  <c r="AD49" i="1"/>
  <c r="AC48" i="1"/>
  <c r="AC49" i="1"/>
  <c r="AB48" i="1"/>
  <c r="AD47" i="1"/>
  <c r="AC47" i="1"/>
  <c r="AB47" i="1"/>
  <c r="AL33" i="1"/>
  <c r="AK33" i="1"/>
  <c r="AJ33" i="1"/>
  <c r="AI33" i="1"/>
  <c r="AH33" i="1"/>
  <c r="AG33" i="1"/>
  <c r="AE33" i="1"/>
  <c r="AF33" i="1"/>
  <c r="AK20" i="1"/>
  <c r="AH20" i="1"/>
  <c r="AG20" i="1"/>
  <c r="AJ20" i="1"/>
  <c r="R6" i="4" l="1"/>
  <c r="R7" i="4"/>
  <c r="Q7" i="4"/>
  <c r="AA15" i="1"/>
  <c r="AA14" i="1"/>
  <c r="AA13" i="1"/>
</calcChain>
</file>

<file path=xl/sharedStrings.xml><?xml version="1.0" encoding="utf-8"?>
<sst xmlns="http://schemas.openxmlformats.org/spreadsheetml/2006/main" count="70" uniqueCount="69">
  <si>
    <t>date</t>
  </si>
  <si>
    <t>total_dose</t>
  </si>
  <si>
    <t>total_first</t>
  </si>
  <si>
    <t>total_second</t>
  </si>
  <si>
    <t>total_boost</t>
  </si>
  <si>
    <t>age_18_59_first</t>
  </si>
  <si>
    <t>age_18_59_second</t>
  </si>
  <si>
    <t>age_60_first</t>
  </si>
  <si>
    <t>age_60_second</t>
  </si>
  <si>
    <t>age_12_17_first</t>
  </si>
  <si>
    <t>age_12_17_second</t>
  </si>
  <si>
    <t>age_18_59_third</t>
  </si>
  <si>
    <t>age_60_third</t>
  </si>
  <si>
    <t>total_sv</t>
  </si>
  <si>
    <t>total_az</t>
  </si>
  <si>
    <t>total_sp</t>
  </si>
  <si>
    <t>total_pf</t>
  </si>
  <si>
    <t>total_moderna</t>
  </si>
  <si>
    <t>sv_first</t>
  </si>
  <si>
    <t>az_first</t>
  </si>
  <si>
    <t>sp_first</t>
  </si>
  <si>
    <t>pf_first</t>
  </si>
  <si>
    <t>moderna_first</t>
  </si>
  <si>
    <t>sv_second</t>
  </si>
  <si>
    <t>az_second</t>
  </si>
  <si>
    <t>sp_second</t>
  </si>
  <si>
    <t>pf_second</t>
  </si>
  <si>
    <t>moderna_second</t>
  </si>
  <si>
    <t>sv_boost</t>
  </si>
  <si>
    <t>az_boost</t>
  </si>
  <si>
    <t>sp_boost</t>
  </si>
  <si>
    <t>pf_boost</t>
  </si>
  <si>
    <t>moderna_boost</t>
  </si>
  <si>
    <t>start_date_first</t>
  </si>
  <si>
    <t>start_date_second</t>
  </si>
  <si>
    <t>8-10 week schedule</t>
  </si>
  <si>
    <t>4 week schedule</t>
  </si>
  <si>
    <t>interval</t>
  </si>
  <si>
    <t>interval_dose</t>
  </si>
  <si>
    <t>interval_first</t>
  </si>
  <si>
    <t>interval_second</t>
  </si>
  <si>
    <t>interval_boost</t>
  </si>
  <si>
    <t>Moderna</t>
  </si>
  <si>
    <t>Booster</t>
  </si>
  <si>
    <t>Sinovac</t>
  </si>
  <si>
    <t>AZ</t>
  </si>
  <si>
    <t>Sinopharm</t>
  </si>
  <si>
    <t>Pfizer</t>
  </si>
  <si>
    <t>CHECK</t>
  </si>
  <si>
    <t>share_sv_primary</t>
  </si>
  <si>
    <t>share_az_primary</t>
  </si>
  <si>
    <t>share_sp_primary</t>
  </si>
  <si>
    <t>share_pf_primary</t>
  </si>
  <si>
    <t>share_moderna_primary</t>
  </si>
  <si>
    <t>share_sv_boost</t>
  </si>
  <si>
    <t>share_az_boost</t>
  </si>
  <si>
    <t>share_sp_boost</t>
  </si>
  <si>
    <t>share_pf_boost</t>
  </si>
  <si>
    <t>share_moderna_boost</t>
  </si>
  <si>
    <t>interval_sv_boost</t>
  </si>
  <si>
    <t>interval_az_boost</t>
  </si>
  <si>
    <t>interval_sp_boost</t>
  </si>
  <si>
    <t>interval_pf_boost</t>
  </si>
  <si>
    <t>interval_moderna_boost</t>
  </si>
  <si>
    <t>interval_sv_primary</t>
  </si>
  <si>
    <t>interval_az_primary</t>
  </si>
  <si>
    <t>interval_sp_primary</t>
  </si>
  <si>
    <t>interval_pf_primary</t>
  </si>
  <si>
    <t>interval_moderna_primary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</si>
</sst>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0.0%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2" borderId="0" xfId="0" applyNumberFormat="1" applyFill="1"/>
    <xf numFmtId="0" fontId="2" fillId="0" borderId="0" xfId="0" applyFont="1"/>
    <xf numFmtId="3" fontId="2" fillId="0" borderId="0" xfId="0" applyNumberFormat="1" applyFont="1"/>
    <xf numFmtId="166" fontId="2" fillId="0" borderId="0" xfId="1" applyNumberFormat="1" applyFont="1" applyFill="1" applyBorder="1"/>
    <xf numFmtId="165" fontId="2" fillId="0" borderId="0" xfId="2" applyNumberFormat="1" applyFont="1" applyBorder="1"/>
    <xf numFmtId="165" fontId="2" fillId="2" borderId="0" xfId="2" applyNumberFormat="1" applyFont="1" applyFill="1" applyBorder="1"/>
    <xf numFmtId="165" fontId="2" fillId="3" borderId="0" xfId="2" applyNumberFormat="1" applyFont="1" applyFill="1" applyBorder="1"/>
    <xf numFmtId="9" fontId="2" fillId="2" borderId="0" xfId="2" applyFont="1" applyFill="1" applyBorder="1"/>
    <xf numFmtId="9" fontId="2" fillId="3" borderId="0" xfId="2" applyFont="1" applyFill="1" applyBorder="1"/>
    <xf numFmtId="9" fontId="2" fillId="0" borderId="0" xfId="2" applyFont="1" applyBorder="1"/>
    <xf numFmtId="167" fontId="2" fillId="0" borderId="0" xfId="0" applyNumberFormat="1" applyFont="1"/>
    <xf numFmtId="166" fontId="4" fillId="0" borderId="0" xfId="1" applyNumberFormat="1" applyFont="1" applyFill="1" applyBorder="1"/>
    <xf numFmtId="0" fontId="4" fillId="0" borderId="0" xfId="0" applyFont="1"/>
    <xf numFmtId="3" fontId="4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0" fontId="3" fillId="0" borderId="0" xfId="0" applyFont="1"/>
    <xf numFmtId="3" fontId="3" fillId="0" borderId="0" xfId="0" applyNumberFormat="1" applyFont="1"/>
    <xf numFmtId="164" fontId="2" fillId="0" borderId="0" xfId="0" applyNumberFormat="1" applyFont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7" fontId="2" fillId="4" borderId="1" xfId="0" applyNumberFormat="1" applyFont="1" applyFill="1" applyBorder="1"/>
    <xf numFmtId="167" fontId="2" fillId="0" borderId="1" xfId="0" applyNumberFormat="1" applyFont="1" applyBorder="1"/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/>
    <xf numFmtId="166" fontId="5" fillId="0" borderId="1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67" fontId="2" fillId="0" borderId="3" xfId="0" applyNumberFormat="1" applyFont="1" applyBorder="1"/>
    <xf numFmtId="166" fontId="5" fillId="6" borderId="1" xfId="1" applyNumberFormat="1" applyFont="1" applyFill="1" applyBorder="1" applyAlignment="1">
      <alignment horizontal="center"/>
    </xf>
    <xf numFmtId="9" fontId="2" fillId="6" borderId="0" xfId="2" applyFont="1" applyFill="1"/>
    <xf numFmtId="166" fontId="5" fillId="5" borderId="1" xfId="1" applyNumberFormat="1" applyFont="1" applyFill="1" applyBorder="1" applyAlignment="1">
      <alignment horizontal="center"/>
    </xf>
    <xf numFmtId="9" fontId="2" fillId="5" borderId="0" xfId="2" applyFont="1" applyFill="1"/>
    <xf numFmtId="0" fontId="5" fillId="6" borderId="1" xfId="0" applyFont="1" applyFill="1" applyBorder="1" applyAlignment="1">
      <alignment horizontal="center"/>
    </xf>
    <xf numFmtId="9" fontId="3" fillId="5" borderId="0" xfId="2" applyFont="1" applyFill="1"/>
    <xf numFmtId="3" fontId="5" fillId="0" borderId="2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Market</a:t>
            </a:r>
            <a:r>
              <a:rPr lang="en-US" sz="2400" b="1" baseline="0"/>
              <a:t> share for primary vaccine</a:t>
            </a:r>
          </a:p>
        </c:rich>
      </c:tx>
      <c:layout>
        <c:manualLayout>
          <c:xMode val="edge"/>
          <c:yMode val="edge"/>
          <c:x val="0.27692767226480508"/>
          <c:y val="3.1212865626937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325745839269715E-2"/>
          <c:y val="0.1413148549883142"/>
          <c:w val="0.85369852322815654"/>
          <c:h val="0.52256230288123173"/>
        </c:manualLayout>
      </c:layout>
      <c:areaChart>
        <c:grouping val="percentStacked"/>
        <c:varyColors val="0"/>
        <c:ser>
          <c:idx val="0"/>
          <c:order val="0"/>
          <c:tx>
            <c:v>Sinovac</c:v>
          </c:tx>
          <c:spPr>
            <a:solidFill>
              <a:schemeClr val="accent5">
                <a:shade val="53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MarketShare!$A$1:$A$85</c15:sqref>
                  </c15:fullRef>
                </c:ext>
              </c:extLst>
              <c:f>MarketShare!$A$2:$A$85</c:f>
              <c:strCache>
                <c:ptCount val="84"/>
                <c:pt idx="0">
                  <c:v>2021-02-28</c:v>
                </c:pt>
                <c:pt idx="1">
                  <c:v>2021-03-08</c:v>
                </c:pt>
                <c:pt idx="2">
                  <c:v>2021-03-15</c:v>
                </c:pt>
                <c:pt idx="3">
                  <c:v>2021-03-22</c:v>
                </c:pt>
                <c:pt idx="4">
                  <c:v>2021-03-29</c:v>
                </c:pt>
                <c:pt idx="5">
                  <c:v>2021-04-05</c:v>
                </c:pt>
                <c:pt idx="6">
                  <c:v>2021-04-12</c:v>
                </c:pt>
                <c:pt idx="7">
                  <c:v>2021-04-19</c:v>
                </c:pt>
                <c:pt idx="8">
                  <c:v>2021-04-26</c:v>
                </c:pt>
                <c:pt idx="9">
                  <c:v>2021-05-03</c:v>
                </c:pt>
                <c:pt idx="10">
                  <c:v>2021-05-10</c:v>
                </c:pt>
                <c:pt idx="11">
                  <c:v>2021-05-17</c:v>
                </c:pt>
                <c:pt idx="12">
                  <c:v>2021-05-24</c:v>
                </c:pt>
                <c:pt idx="13">
                  <c:v>2021-05-31</c:v>
                </c:pt>
                <c:pt idx="14">
                  <c:v>2021-06-07</c:v>
                </c:pt>
                <c:pt idx="15">
                  <c:v>2021-06-14</c:v>
                </c:pt>
                <c:pt idx="16">
                  <c:v>2021-06-21</c:v>
                </c:pt>
                <c:pt idx="17">
                  <c:v>2021-06-28</c:v>
                </c:pt>
                <c:pt idx="18">
                  <c:v>2021-07-05</c:v>
                </c:pt>
                <c:pt idx="19">
                  <c:v>2021-07-12</c:v>
                </c:pt>
                <c:pt idx="20">
                  <c:v>2021-07-19</c:v>
                </c:pt>
                <c:pt idx="21">
                  <c:v>2021-07-25</c:v>
                </c:pt>
                <c:pt idx="22">
                  <c:v>2021-08-02</c:v>
                </c:pt>
                <c:pt idx="23">
                  <c:v>2021-08-09</c:v>
                </c:pt>
                <c:pt idx="24">
                  <c:v>2021-08-16</c:v>
                </c:pt>
                <c:pt idx="25">
                  <c:v>2021-08-23</c:v>
                </c:pt>
                <c:pt idx="26">
                  <c:v>2021-08-30</c:v>
                </c:pt>
                <c:pt idx="27">
                  <c:v>2021-09-06</c:v>
                </c:pt>
                <c:pt idx="28">
                  <c:v>2021-09-13</c:v>
                </c:pt>
                <c:pt idx="29">
                  <c:v>2021-09-20</c:v>
                </c:pt>
                <c:pt idx="30">
                  <c:v>2021-10-04</c:v>
                </c:pt>
                <c:pt idx="31">
                  <c:v>2021-10-11</c:v>
                </c:pt>
                <c:pt idx="32">
                  <c:v>2021-10-18</c:v>
                </c:pt>
                <c:pt idx="33">
                  <c:v>2021-10-25</c:v>
                </c:pt>
                <c:pt idx="34">
                  <c:v>2021-11-01</c:v>
                </c:pt>
                <c:pt idx="35">
                  <c:v>2021-11-08</c:v>
                </c:pt>
                <c:pt idx="36">
                  <c:v>2021-11-15</c:v>
                </c:pt>
                <c:pt idx="37">
                  <c:v>2021-11-22</c:v>
                </c:pt>
                <c:pt idx="38">
                  <c:v>2021-11-29</c:v>
                </c:pt>
                <c:pt idx="39">
                  <c:v>2021-12-06</c:v>
                </c:pt>
                <c:pt idx="40">
                  <c:v>2021-12-13</c:v>
                </c:pt>
                <c:pt idx="41">
                  <c:v>2021-12-20</c:v>
                </c:pt>
                <c:pt idx="42">
                  <c:v>2021-12-26</c:v>
                </c:pt>
                <c:pt idx="43">
                  <c:v>2022-01-03</c:v>
                </c:pt>
                <c:pt idx="44">
                  <c:v>2022-01-17</c:v>
                </c:pt>
                <c:pt idx="45">
                  <c:v>2022-01-24</c:v>
                </c:pt>
                <c:pt idx="46">
                  <c:v>2022-01-31</c:v>
                </c:pt>
                <c:pt idx="47">
                  <c:v>2022-02-07</c:v>
                </c:pt>
                <c:pt idx="48">
                  <c:v>2022-02-14</c:v>
                </c:pt>
                <c:pt idx="49">
                  <c:v>2022-02-21</c:v>
                </c:pt>
                <c:pt idx="50">
                  <c:v>2022-02-28</c:v>
                </c:pt>
                <c:pt idx="51">
                  <c:v>2022-03-07</c:v>
                </c:pt>
                <c:pt idx="52">
                  <c:v>2022-03-14</c:v>
                </c:pt>
                <c:pt idx="53">
                  <c:v>2022-03-21</c:v>
                </c:pt>
                <c:pt idx="54">
                  <c:v>2022-03-28</c:v>
                </c:pt>
                <c:pt idx="55">
                  <c:v>2022-04-03</c:v>
                </c:pt>
                <c:pt idx="56">
                  <c:v>2022-04-11</c:v>
                </c:pt>
                <c:pt idx="57">
                  <c:v>2022-04-18</c:v>
                </c:pt>
                <c:pt idx="58">
                  <c:v>2022-04-25</c:v>
                </c:pt>
                <c:pt idx="59">
                  <c:v>2022-05-02</c:v>
                </c:pt>
                <c:pt idx="60">
                  <c:v>2022-05-09</c:v>
                </c:pt>
                <c:pt idx="61">
                  <c:v>2022-05-16</c:v>
                </c:pt>
                <c:pt idx="62">
                  <c:v>2022-05-23</c:v>
                </c:pt>
                <c:pt idx="63">
                  <c:v>2022-05-30</c:v>
                </c:pt>
                <c:pt idx="64">
                  <c:v>2022-06-06</c:v>
                </c:pt>
                <c:pt idx="65">
                  <c:v>2022-06-13</c:v>
                </c:pt>
                <c:pt idx="66">
                  <c:v>2022-06-20</c:v>
                </c:pt>
                <c:pt idx="67">
                  <c:v>2022-06-27</c:v>
                </c:pt>
                <c:pt idx="68">
                  <c:v>2022-07-04</c:v>
                </c:pt>
                <c:pt idx="69">
                  <c:v>2022-07-11</c:v>
                </c:pt>
                <c:pt idx="70">
                  <c:v>2022-07-18</c:v>
                </c:pt>
                <c:pt idx="71">
                  <c:v>2022-07-26</c:v>
                </c:pt>
                <c:pt idx="72">
                  <c:v>2022-08-01</c:v>
                </c:pt>
                <c:pt idx="73">
                  <c:v>2022-08-08</c:v>
                </c:pt>
                <c:pt idx="74">
                  <c:v>2022-08-15</c:v>
                </c:pt>
                <c:pt idx="75">
                  <c:v>2022-08-22</c:v>
                </c:pt>
                <c:pt idx="76">
                  <c:v>2022-08-28</c:v>
                </c:pt>
                <c:pt idx="77">
                  <c:v>2022-09-04</c:v>
                </c:pt>
                <c:pt idx="78">
                  <c:v>2022-09-12</c:v>
                </c:pt>
                <c:pt idx="79">
                  <c:v>2022-09-19</c:v>
                </c:pt>
                <c:pt idx="80">
                  <c:v>2022-09-26</c:v>
                </c:pt>
                <c:pt idx="81">
                  <c:v>2022-10-07</c:v>
                </c:pt>
                <c:pt idx="82">
                  <c:v>2022-10-21</c:v>
                </c:pt>
                <c:pt idx="83">
                  <c:v>2022-10-28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MarketShare!$Q$2:$Q$85</c15:sqref>
                  </c15:fullRef>
                </c:ext>
              </c:extLst>
              <c:f>MarketShare!$Q$3:$Q$85</c:f>
              <c:numCache>
                <c:formatCode>0%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0.93650440616020869</c:v>
                </c:pt>
                <c:pt idx="4">
                  <c:v>0.75525781377652246</c:v>
                </c:pt>
                <c:pt idx="5">
                  <c:v>0.95678492231650869</c:v>
                </c:pt>
                <c:pt idx="6">
                  <c:v>0.96366249230137546</c:v>
                </c:pt>
                <c:pt idx="7">
                  <c:v>0.96366249230137546</c:v>
                </c:pt>
                <c:pt idx="8">
                  <c:v>0.96366249230137546</c:v>
                </c:pt>
                <c:pt idx="9">
                  <c:v>0.96366249230137546</c:v>
                </c:pt>
                <c:pt idx="10">
                  <c:v>0.96915544383308905</c:v>
                </c:pt>
                <c:pt idx="11">
                  <c:v>0.96702852844502851</c:v>
                </c:pt>
                <c:pt idx="12">
                  <c:v>1</c:v>
                </c:pt>
                <c:pt idx="13">
                  <c:v>0.62496984790976429</c:v>
                </c:pt>
                <c:pt idx="14">
                  <c:v>0.35283755888762808</c:v>
                </c:pt>
                <c:pt idx="15">
                  <c:v>0.53700792254025764</c:v>
                </c:pt>
                <c:pt idx="16">
                  <c:v>0.40472138867332857</c:v>
                </c:pt>
                <c:pt idx="17">
                  <c:v>0.27834287183398743</c:v>
                </c:pt>
                <c:pt idx="18">
                  <c:v>0.25186682041276826</c:v>
                </c:pt>
                <c:pt idx="19">
                  <c:v>0.31933051503583476</c:v>
                </c:pt>
                <c:pt idx="20">
                  <c:v>0.35961285685381461</c:v>
                </c:pt>
                <c:pt idx="21">
                  <c:v>0.33296485730639258</c:v>
                </c:pt>
                <c:pt idx="22">
                  <c:v>0.52040315605397847</c:v>
                </c:pt>
                <c:pt idx="23">
                  <c:v>0.41924715492869979</c:v>
                </c:pt>
                <c:pt idx="24">
                  <c:v>0.39727240954006754</c:v>
                </c:pt>
                <c:pt idx="25">
                  <c:v>0.35268076172931828</c:v>
                </c:pt>
                <c:pt idx="26">
                  <c:v>0.2629306405591682</c:v>
                </c:pt>
                <c:pt idx="27">
                  <c:v>0.3020784741060899</c:v>
                </c:pt>
                <c:pt idx="28">
                  <c:v>0.23888811291090972</c:v>
                </c:pt>
                <c:pt idx="29">
                  <c:v>0.2501201023406408</c:v>
                </c:pt>
                <c:pt idx="30">
                  <c:v>0.18603920838114849</c:v>
                </c:pt>
                <c:pt idx="31">
                  <c:v>0.2035169012382142</c:v>
                </c:pt>
                <c:pt idx="32">
                  <c:v>0.2202970080028018</c:v>
                </c:pt>
                <c:pt idx="33">
                  <c:v>0.2422049130709916</c:v>
                </c:pt>
                <c:pt idx="34">
                  <c:v>0.16946777177059263</c:v>
                </c:pt>
                <c:pt idx="35">
                  <c:v>0.12728305461810563</c:v>
                </c:pt>
                <c:pt idx="36">
                  <c:v>7.3908293221515112E-2</c:v>
                </c:pt>
                <c:pt idx="37">
                  <c:v>5.6942390435263071E-2</c:v>
                </c:pt>
                <c:pt idx="38">
                  <c:v>3.9986001039340531E-2</c:v>
                </c:pt>
                <c:pt idx="39">
                  <c:v>3.0847458260350305E-2</c:v>
                </c:pt>
                <c:pt idx="40">
                  <c:v>2.888107880269155E-2</c:v>
                </c:pt>
                <c:pt idx="41">
                  <c:v>2.0831607932179093E-2</c:v>
                </c:pt>
                <c:pt idx="42">
                  <c:v>1.8492212396101184E-2</c:v>
                </c:pt>
                <c:pt idx="43">
                  <c:v>1.2722781935681113E-2</c:v>
                </c:pt>
                <c:pt idx="44">
                  <c:v>1.6447986424653799E-2</c:v>
                </c:pt>
                <c:pt idx="45">
                  <c:v>3.7268100721207315E-2</c:v>
                </c:pt>
                <c:pt idx="46">
                  <c:v>3.6914707231425155E-2</c:v>
                </c:pt>
                <c:pt idx="47">
                  <c:v>1.1031994160342666E-2</c:v>
                </c:pt>
                <c:pt idx="48">
                  <c:v>1.2822387651419615E-2</c:v>
                </c:pt>
                <c:pt idx="49">
                  <c:v>9.3496232127736056E-3</c:v>
                </c:pt>
                <c:pt idx="50">
                  <c:v>8.4223191457362002E-3</c:v>
                </c:pt>
                <c:pt idx="51">
                  <c:v>8.7845760205635115E-3</c:v>
                </c:pt>
                <c:pt idx="52">
                  <c:v>9.263054629898005E-3</c:v>
                </c:pt>
                <c:pt idx="53">
                  <c:v>4.6393305908488851E-3</c:v>
                </c:pt>
                <c:pt idx="54">
                  <c:v>4.0091772239536621E-3</c:v>
                </c:pt>
                <c:pt idx="55">
                  <c:v>2.5594476354870391E-3</c:v>
                </c:pt>
                <c:pt idx="56">
                  <c:v>3.3355475083388687E-3</c:v>
                </c:pt>
                <c:pt idx="57">
                  <c:v>1.9656658368077426E-3</c:v>
                </c:pt>
                <c:pt idx="58">
                  <c:v>1.9613037843921291E-3</c:v>
                </c:pt>
                <c:pt idx="59">
                  <c:v>1.4500965130460669E-3</c:v>
                </c:pt>
                <c:pt idx="60">
                  <c:v>2.8598781506770895E-3</c:v>
                </c:pt>
                <c:pt idx="61">
                  <c:v>4.0084938680391225E-3</c:v>
                </c:pt>
                <c:pt idx="62">
                  <c:v>1.7112485759210613E-3</c:v>
                </c:pt>
                <c:pt idx="63">
                  <c:v>9.7703530848581334E-3</c:v>
                </c:pt>
                <c:pt idx="64">
                  <c:v>1.849339719276875E-3</c:v>
                </c:pt>
                <c:pt idx="65">
                  <c:v>3.9093382137810398E-3</c:v>
                </c:pt>
                <c:pt idx="66">
                  <c:v>6.1326228307305337E-3</c:v>
                </c:pt>
                <c:pt idx="67">
                  <c:v>5.0360713730050197E-3</c:v>
                </c:pt>
                <c:pt idx="68">
                  <c:v>5.1130553346210661E-3</c:v>
                </c:pt>
                <c:pt idx="69">
                  <c:v>3.9081321269875263E-3</c:v>
                </c:pt>
                <c:pt idx="70">
                  <c:v>1.4041113773636358E-3</c:v>
                </c:pt>
                <c:pt idx="71">
                  <c:v>2.5207965717166624E-3</c:v>
                </c:pt>
                <c:pt idx="72">
                  <c:v>3.3789020118416566E-3</c:v>
                </c:pt>
                <c:pt idx="73">
                  <c:v>2.5234158143953452E-3</c:v>
                </c:pt>
                <c:pt idx="74">
                  <c:v>1.9780246288188539E-3</c:v>
                </c:pt>
                <c:pt idx="75">
                  <c:v>3.278208693106981E-3</c:v>
                </c:pt>
                <c:pt idx="76">
                  <c:v>3.7188038416267207E-3</c:v>
                </c:pt>
                <c:pt idx="77">
                  <c:v>4.497949464214843E-3</c:v>
                </c:pt>
                <c:pt idx="78">
                  <c:v>4.1270255006733564E-3</c:v>
                </c:pt>
                <c:pt idx="79">
                  <c:v>2.4329300368227248E-3</c:v>
                </c:pt>
                <c:pt idx="80">
                  <c:v>2.531297829755504E-3</c:v>
                </c:pt>
                <c:pt idx="81">
                  <c:v>9.2237487256662941E-4</c:v>
                </c:pt>
                <c:pt idx="82">
                  <c:v>4.7666507778307407E-4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B-49C8-BE0B-B6F644D54690}"/>
            </c:ext>
          </c:extLst>
        </c:ser>
        <c:ser>
          <c:idx val="1"/>
          <c:order val="1"/>
          <c:tx>
            <c:v>Astrazeneca</c:v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MarketShare!$A$1:$A$85</c15:sqref>
                  </c15:fullRef>
                </c:ext>
              </c:extLst>
              <c:f>MarketShare!$A$2:$A$85</c:f>
              <c:strCache>
                <c:ptCount val="84"/>
                <c:pt idx="0">
                  <c:v>2021-02-28</c:v>
                </c:pt>
                <c:pt idx="1">
                  <c:v>2021-03-08</c:v>
                </c:pt>
                <c:pt idx="2">
                  <c:v>2021-03-15</c:v>
                </c:pt>
                <c:pt idx="3">
                  <c:v>2021-03-22</c:v>
                </c:pt>
                <c:pt idx="4">
                  <c:v>2021-03-29</c:v>
                </c:pt>
                <c:pt idx="5">
                  <c:v>2021-04-05</c:v>
                </c:pt>
                <c:pt idx="6">
                  <c:v>2021-04-12</c:v>
                </c:pt>
                <c:pt idx="7">
                  <c:v>2021-04-19</c:v>
                </c:pt>
                <c:pt idx="8">
                  <c:v>2021-04-26</c:v>
                </c:pt>
                <c:pt idx="9">
                  <c:v>2021-05-03</c:v>
                </c:pt>
                <c:pt idx="10">
                  <c:v>2021-05-10</c:v>
                </c:pt>
                <c:pt idx="11">
                  <c:v>2021-05-17</c:v>
                </c:pt>
                <c:pt idx="12">
                  <c:v>2021-05-24</c:v>
                </c:pt>
                <c:pt idx="13">
                  <c:v>2021-05-31</c:v>
                </c:pt>
                <c:pt idx="14">
                  <c:v>2021-06-07</c:v>
                </c:pt>
                <c:pt idx="15">
                  <c:v>2021-06-14</c:v>
                </c:pt>
                <c:pt idx="16">
                  <c:v>2021-06-21</c:v>
                </c:pt>
                <c:pt idx="17">
                  <c:v>2021-06-28</c:v>
                </c:pt>
                <c:pt idx="18">
                  <c:v>2021-07-05</c:v>
                </c:pt>
                <c:pt idx="19">
                  <c:v>2021-07-12</c:v>
                </c:pt>
                <c:pt idx="20">
                  <c:v>2021-07-19</c:v>
                </c:pt>
                <c:pt idx="21">
                  <c:v>2021-07-25</c:v>
                </c:pt>
                <c:pt idx="22">
                  <c:v>2021-08-02</c:v>
                </c:pt>
                <c:pt idx="23">
                  <c:v>2021-08-09</c:v>
                </c:pt>
                <c:pt idx="24">
                  <c:v>2021-08-16</c:v>
                </c:pt>
                <c:pt idx="25">
                  <c:v>2021-08-23</c:v>
                </c:pt>
                <c:pt idx="26">
                  <c:v>2021-08-30</c:v>
                </c:pt>
                <c:pt idx="27">
                  <c:v>2021-09-06</c:v>
                </c:pt>
                <c:pt idx="28">
                  <c:v>2021-09-13</c:v>
                </c:pt>
                <c:pt idx="29">
                  <c:v>2021-09-20</c:v>
                </c:pt>
                <c:pt idx="30">
                  <c:v>2021-10-04</c:v>
                </c:pt>
                <c:pt idx="31">
                  <c:v>2021-10-11</c:v>
                </c:pt>
                <c:pt idx="32">
                  <c:v>2021-10-18</c:v>
                </c:pt>
                <c:pt idx="33">
                  <c:v>2021-10-25</c:v>
                </c:pt>
                <c:pt idx="34">
                  <c:v>2021-11-01</c:v>
                </c:pt>
                <c:pt idx="35">
                  <c:v>2021-11-08</c:v>
                </c:pt>
                <c:pt idx="36">
                  <c:v>2021-11-15</c:v>
                </c:pt>
                <c:pt idx="37">
                  <c:v>2021-11-22</c:v>
                </c:pt>
                <c:pt idx="38">
                  <c:v>2021-11-29</c:v>
                </c:pt>
                <c:pt idx="39">
                  <c:v>2021-12-06</c:v>
                </c:pt>
                <c:pt idx="40">
                  <c:v>2021-12-13</c:v>
                </c:pt>
                <c:pt idx="41">
                  <c:v>2021-12-20</c:v>
                </c:pt>
                <c:pt idx="42">
                  <c:v>2021-12-26</c:v>
                </c:pt>
                <c:pt idx="43">
                  <c:v>2022-01-03</c:v>
                </c:pt>
                <c:pt idx="44">
                  <c:v>2022-01-17</c:v>
                </c:pt>
                <c:pt idx="45">
                  <c:v>2022-01-24</c:v>
                </c:pt>
                <c:pt idx="46">
                  <c:v>2022-01-31</c:v>
                </c:pt>
                <c:pt idx="47">
                  <c:v>2022-02-07</c:v>
                </c:pt>
                <c:pt idx="48">
                  <c:v>2022-02-14</c:v>
                </c:pt>
                <c:pt idx="49">
                  <c:v>2022-02-21</c:v>
                </c:pt>
                <c:pt idx="50">
                  <c:v>2022-02-28</c:v>
                </c:pt>
                <c:pt idx="51">
                  <c:v>2022-03-07</c:v>
                </c:pt>
                <c:pt idx="52">
                  <c:v>2022-03-14</c:v>
                </c:pt>
                <c:pt idx="53">
                  <c:v>2022-03-21</c:v>
                </c:pt>
                <c:pt idx="54">
                  <c:v>2022-03-28</c:v>
                </c:pt>
                <c:pt idx="55">
                  <c:v>2022-04-03</c:v>
                </c:pt>
                <c:pt idx="56">
                  <c:v>2022-04-11</c:v>
                </c:pt>
                <c:pt idx="57">
                  <c:v>2022-04-18</c:v>
                </c:pt>
                <c:pt idx="58">
                  <c:v>2022-04-25</c:v>
                </c:pt>
                <c:pt idx="59">
                  <c:v>2022-05-02</c:v>
                </c:pt>
                <c:pt idx="60">
                  <c:v>2022-05-09</c:v>
                </c:pt>
                <c:pt idx="61">
                  <c:v>2022-05-16</c:v>
                </c:pt>
                <c:pt idx="62">
                  <c:v>2022-05-23</c:v>
                </c:pt>
                <c:pt idx="63">
                  <c:v>2022-05-30</c:v>
                </c:pt>
                <c:pt idx="64">
                  <c:v>2022-06-06</c:v>
                </c:pt>
                <c:pt idx="65">
                  <c:v>2022-06-13</c:v>
                </c:pt>
                <c:pt idx="66">
                  <c:v>2022-06-20</c:v>
                </c:pt>
                <c:pt idx="67">
                  <c:v>2022-06-27</c:v>
                </c:pt>
                <c:pt idx="68">
                  <c:v>2022-07-04</c:v>
                </c:pt>
                <c:pt idx="69">
                  <c:v>2022-07-11</c:v>
                </c:pt>
                <c:pt idx="70">
                  <c:v>2022-07-18</c:v>
                </c:pt>
                <c:pt idx="71">
                  <c:v>2022-07-26</c:v>
                </c:pt>
                <c:pt idx="72">
                  <c:v>2022-08-01</c:v>
                </c:pt>
                <c:pt idx="73">
                  <c:v>2022-08-08</c:v>
                </c:pt>
                <c:pt idx="74">
                  <c:v>2022-08-15</c:v>
                </c:pt>
                <c:pt idx="75">
                  <c:v>2022-08-22</c:v>
                </c:pt>
                <c:pt idx="76">
                  <c:v>2022-08-28</c:v>
                </c:pt>
                <c:pt idx="77">
                  <c:v>2022-09-04</c:v>
                </c:pt>
                <c:pt idx="78">
                  <c:v>2022-09-12</c:v>
                </c:pt>
                <c:pt idx="79">
                  <c:v>2022-09-19</c:v>
                </c:pt>
                <c:pt idx="80">
                  <c:v>2022-09-26</c:v>
                </c:pt>
                <c:pt idx="81">
                  <c:v>2022-10-07</c:v>
                </c:pt>
                <c:pt idx="82">
                  <c:v>2022-10-21</c:v>
                </c:pt>
                <c:pt idx="83">
                  <c:v>2022-10-28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MarketShare!$R$2:$R$85</c15:sqref>
                  </c15:fullRef>
                </c:ext>
              </c:extLst>
              <c:f>MarketShare!$R$3:$R$85</c:f>
              <c:numCache>
                <c:formatCode>0%</c:formatCode>
                <c:ptCount val="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6.3495593839791295E-2</c:v>
                </c:pt>
                <c:pt idx="4">
                  <c:v>0.24474218622347751</c:v>
                </c:pt>
                <c:pt idx="5">
                  <c:v>4.3215077683491331E-2</c:v>
                </c:pt>
                <c:pt idx="6">
                  <c:v>3.633750769862451E-2</c:v>
                </c:pt>
                <c:pt idx="7">
                  <c:v>3.633750769862451E-2</c:v>
                </c:pt>
                <c:pt idx="8">
                  <c:v>3.633750769862451E-2</c:v>
                </c:pt>
                <c:pt idx="9">
                  <c:v>3.633750769862451E-2</c:v>
                </c:pt>
                <c:pt idx="10">
                  <c:v>3.0844556166910977E-2</c:v>
                </c:pt>
                <c:pt idx="11">
                  <c:v>3.2971471554971481E-2</c:v>
                </c:pt>
                <c:pt idx="12">
                  <c:v>0</c:v>
                </c:pt>
                <c:pt idx="13">
                  <c:v>0.37503015209023566</c:v>
                </c:pt>
                <c:pt idx="14">
                  <c:v>0.64716244111237187</c:v>
                </c:pt>
                <c:pt idx="15">
                  <c:v>0.46299207745974236</c:v>
                </c:pt>
                <c:pt idx="16">
                  <c:v>0.58769522921638162</c:v>
                </c:pt>
                <c:pt idx="17">
                  <c:v>0.6479111353719772</c:v>
                </c:pt>
                <c:pt idx="18">
                  <c:v>0.67887715610797472</c:v>
                </c:pt>
                <c:pt idx="19">
                  <c:v>0.54975165507357615</c:v>
                </c:pt>
                <c:pt idx="20">
                  <c:v>0.47772886962747269</c:v>
                </c:pt>
                <c:pt idx="21">
                  <c:v>0.48662740326722359</c:v>
                </c:pt>
                <c:pt idx="22">
                  <c:v>0.30221431865169918</c:v>
                </c:pt>
                <c:pt idx="23">
                  <c:v>0.37550824052526904</c:v>
                </c:pt>
                <c:pt idx="24">
                  <c:v>0.37264206260488786</c:v>
                </c:pt>
                <c:pt idx="25">
                  <c:v>0.40708920149061428</c:v>
                </c:pt>
                <c:pt idx="26">
                  <c:v>0.52361695881640724</c:v>
                </c:pt>
                <c:pt idx="27">
                  <c:v>0.44412816494604068</c:v>
                </c:pt>
                <c:pt idx="28">
                  <c:v>0.46286522109023498</c:v>
                </c:pt>
                <c:pt idx="29">
                  <c:v>0.48036922658167347</c:v>
                </c:pt>
                <c:pt idx="30">
                  <c:v>0.42237400345484782</c:v>
                </c:pt>
                <c:pt idx="31">
                  <c:v>0.38345260399357289</c:v>
                </c:pt>
                <c:pt idx="32">
                  <c:v>0.39247852173520148</c:v>
                </c:pt>
                <c:pt idx="33">
                  <c:v>0.34318771742816484</c:v>
                </c:pt>
                <c:pt idx="34">
                  <c:v>0.39190901254526389</c:v>
                </c:pt>
                <c:pt idx="35">
                  <c:v>0.48475608679157572</c:v>
                </c:pt>
                <c:pt idx="36">
                  <c:v>0.53474552226742023</c:v>
                </c:pt>
                <c:pt idx="37">
                  <c:v>0.5639853333342093</c:v>
                </c:pt>
                <c:pt idx="38">
                  <c:v>0.39319051676230532</c:v>
                </c:pt>
                <c:pt idx="39">
                  <c:v>0.28270257109890801</c:v>
                </c:pt>
                <c:pt idx="40">
                  <c:v>0.22133649510420805</c:v>
                </c:pt>
                <c:pt idx="41">
                  <c:v>0.16937710392057559</c:v>
                </c:pt>
                <c:pt idx="42">
                  <c:v>0.13106463852412809</c:v>
                </c:pt>
                <c:pt idx="43">
                  <c:v>0.15061979689407637</c:v>
                </c:pt>
                <c:pt idx="44">
                  <c:v>0.20076967364625314</c:v>
                </c:pt>
                <c:pt idx="45">
                  <c:v>0.24604798992011631</c:v>
                </c:pt>
                <c:pt idx="46">
                  <c:v>0.22169314755355707</c:v>
                </c:pt>
                <c:pt idx="47">
                  <c:v>0.17988451526712301</c:v>
                </c:pt>
                <c:pt idx="48">
                  <c:v>0.13824195826573465</c:v>
                </c:pt>
                <c:pt idx="49">
                  <c:v>0.11806964319437591</c:v>
                </c:pt>
                <c:pt idx="50">
                  <c:v>9.4092638174088167E-2</c:v>
                </c:pt>
                <c:pt idx="51">
                  <c:v>7.6245140474151776E-2</c:v>
                </c:pt>
                <c:pt idx="52">
                  <c:v>7.8136549876601222E-2</c:v>
                </c:pt>
                <c:pt idx="53">
                  <c:v>8.8094720834238541E-2</c:v>
                </c:pt>
                <c:pt idx="54">
                  <c:v>8.2009190005602625E-2</c:v>
                </c:pt>
                <c:pt idx="55">
                  <c:v>6.1564919411412074E-2</c:v>
                </c:pt>
                <c:pt idx="56">
                  <c:v>7.3974872684937187E-2</c:v>
                </c:pt>
                <c:pt idx="57">
                  <c:v>4.9333613285741422E-2</c:v>
                </c:pt>
                <c:pt idx="58">
                  <c:v>4.2581856194331316E-2</c:v>
                </c:pt>
                <c:pt idx="59">
                  <c:v>3.0696910622197041E-2</c:v>
                </c:pt>
                <c:pt idx="60">
                  <c:v>3.1088385825333065E-2</c:v>
                </c:pt>
                <c:pt idx="61">
                  <c:v>2.9996220948541916E-2</c:v>
                </c:pt>
                <c:pt idx="62">
                  <c:v>2.9980980896157576E-2</c:v>
                </c:pt>
                <c:pt idx="63">
                  <c:v>3.72102152530914E-2</c:v>
                </c:pt>
                <c:pt idx="64">
                  <c:v>3.4766479333351787E-2</c:v>
                </c:pt>
                <c:pt idx="65">
                  <c:v>3.6771434440771661E-2</c:v>
                </c:pt>
                <c:pt idx="66">
                  <c:v>4.949532274062117E-2</c:v>
                </c:pt>
                <c:pt idx="67">
                  <c:v>6.4617299519321311E-2</c:v>
                </c:pt>
                <c:pt idx="68">
                  <c:v>3.5645300047072573E-2</c:v>
                </c:pt>
                <c:pt idx="69">
                  <c:v>3.5101807734175636E-2</c:v>
                </c:pt>
                <c:pt idx="70">
                  <c:v>3.1435848936182557E-2</c:v>
                </c:pt>
                <c:pt idx="71">
                  <c:v>4.208247453254052E-2</c:v>
                </c:pt>
                <c:pt idx="72">
                  <c:v>2.4954276325986548E-2</c:v>
                </c:pt>
                <c:pt idx="73">
                  <c:v>2.9390372426486958E-2</c:v>
                </c:pt>
                <c:pt idx="74">
                  <c:v>2.8452195727949246E-2</c:v>
                </c:pt>
                <c:pt idx="75">
                  <c:v>3.5152934289477536E-2</c:v>
                </c:pt>
                <c:pt idx="76">
                  <c:v>3.80239163439723E-2</c:v>
                </c:pt>
                <c:pt idx="77">
                  <c:v>4.1848569034704769E-2</c:v>
                </c:pt>
                <c:pt idx="78">
                  <c:v>2.1308484295581912E-2</c:v>
                </c:pt>
                <c:pt idx="79">
                  <c:v>6.9985095563738386E-2</c:v>
                </c:pt>
                <c:pt idx="80">
                  <c:v>2.5371845688944704E-2</c:v>
                </c:pt>
                <c:pt idx="81">
                  <c:v>4.1919510655857077E-2</c:v>
                </c:pt>
                <c:pt idx="82">
                  <c:v>4.2423191922693594E-2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B-49C8-BE0B-B6F644D54690}"/>
            </c:ext>
          </c:extLst>
        </c:ser>
        <c:ser>
          <c:idx val="2"/>
          <c:order val="2"/>
          <c:tx>
            <c:v>Sinopharm</c:v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MarketShare!$A$1:$A$85</c15:sqref>
                  </c15:fullRef>
                </c:ext>
              </c:extLst>
              <c:f>MarketShare!$A$2:$A$85</c:f>
              <c:strCache>
                <c:ptCount val="84"/>
                <c:pt idx="0">
                  <c:v>2021-02-28</c:v>
                </c:pt>
                <c:pt idx="1">
                  <c:v>2021-03-08</c:v>
                </c:pt>
                <c:pt idx="2">
                  <c:v>2021-03-15</c:v>
                </c:pt>
                <c:pt idx="3">
                  <c:v>2021-03-22</c:v>
                </c:pt>
                <c:pt idx="4">
                  <c:v>2021-03-29</c:v>
                </c:pt>
                <c:pt idx="5">
                  <c:v>2021-04-05</c:v>
                </c:pt>
                <c:pt idx="6">
                  <c:v>2021-04-12</c:v>
                </c:pt>
                <c:pt idx="7">
                  <c:v>2021-04-19</c:v>
                </c:pt>
                <c:pt idx="8">
                  <c:v>2021-04-26</c:v>
                </c:pt>
                <c:pt idx="9">
                  <c:v>2021-05-03</c:v>
                </c:pt>
                <c:pt idx="10">
                  <c:v>2021-05-10</c:v>
                </c:pt>
                <c:pt idx="11">
                  <c:v>2021-05-17</c:v>
                </c:pt>
                <c:pt idx="12">
                  <c:v>2021-05-24</c:v>
                </c:pt>
                <c:pt idx="13">
                  <c:v>2021-05-31</c:v>
                </c:pt>
                <c:pt idx="14">
                  <c:v>2021-06-07</c:v>
                </c:pt>
                <c:pt idx="15">
                  <c:v>2021-06-14</c:v>
                </c:pt>
                <c:pt idx="16">
                  <c:v>2021-06-21</c:v>
                </c:pt>
                <c:pt idx="17">
                  <c:v>2021-06-28</c:v>
                </c:pt>
                <c:pt idx="18">
                  <c:v>2021-07-05</c:v>
                </c:pt>
                <c:pt idx="19">
                  <c:v>2021-07-12</c:v>
                </c:pt>
                <c:pt idx="20">
                  <c:v>2021-07-19</c:v>
                </c:pt>
                <c:pt idx="21">
                  <c:v>2021-07-25</c:v>
                </c:pt>
                <c:pt idx="22">
                  <c:v>2021-08-02</c:v>
                </c:pt>
                <c:pt idx="23">
                  <c:v>2021-08-09</c:v>
                </c:pt>
                <c:pt idx="24">
                  <c:v>2021-08-16</c:v>
                </c:pt>
                <c:pt idx="25">
                  <c:v>2021-08-23</c:v>
                </c:pt>
                <c:pt idx="26">
                  <c:v>2021-08-30</c:v>
                </c:pt>
                <c:pt idx="27">
                  <c:v>2021-09-06</c:v>
                </c:pt>
                <c:pt idx="28">
                  <c:v>2021-09-13</c:v>
                </c:pt>
                <c:pt idx="29">
                  <c:v>2021-09-20</c:v>
                </c:pt>
                <c:pt idx="30">
                  <c:v>2021-10-04</c:v>
                </c:pt>
                <c:pt idx="31">
                  <c:v>2021-10-11</c:v>
                </c:pt>
                <c:pt idx="32">
                  <c:v>2021-10-18</c:v>
                </c:pt>
                <c:pt idx="33">
                  <c:v>2021-10-25</c:v>
                </c:pt>
                <c:pt idx="34">
                  <c:v>2021-11-01</c:v>
                </c:pt>
                <c:pt idx="35">
                  <c:v>2021-11-08</c:v>
                </c:pt>
                <c:pt idx="36">
                  <c:v>2021-11-15</c:v>
                </c:pt>
                <c:pt idx="37">
                  <c:v>2021-11-22</c:v>
                </c:pt>
                <c:pt idx="38">
                  <c:v>2021-11-29</c:v>
                </c:pt>
                <c:pt idx="39">
                  <c:v>2021-12-06</c:v>
                </c:pt>
                <c:pt idx="40">
                  <c:v>2021-12-13</c:v>
                </c:pt>
                <c:pt idx="41">
                  <c:v>2021-12-20</c:v>
                </c:pt>
                <c:pt idx="42">
                  <c:v>2021-12-26</c:v>
                </c:pt>
                <c:pt idx="43">
                  <c:v>2022-01-03</c:v>
                </c:pt>
                <c:pt idx="44">
                  <c:v>2022-01-17</c:v>
                </c:pt>
                <c:pt idx="45">
                  <c:v>2022-01-24</c:v>
                </c:pt>
                <c:pt idx="46">
                  <c:v>2022-01-31</c:v>
                </c:pt>
                <c:pt idx="47">
                  <c:v>2022-02-07</c:v>
                </c:pt>
                <c:pt idx="48">
                  <c:v>2022-02-14</c:v>
                </c:pt>
                <c:pt idx="49">
                  <c:v>2022-02-21</c:v>
                </c:pt>
                <c:pt idx="50">
                  <c:v>2022-02-28</c:v>
                </c:pt>
                <c:pt idx="51">
                  <c:v>2022-03-07</c:v>
                </c:pt>
                <c:pt idx="52">
                  <c:v>2022-03-14</c:v>
                </c:pt>
                <c:pt idx="53">
                  <c:v>2022-03-21</c:v>
                </c:pt>
                <c:pt idx="54">
                  <c:v>2022-03-28</c:v>
                </c:pt>
                <c:pt idx="55">
                  <c:v>2022-04-03</c:v>
                </c:pt>
                <c:pt idx="56">
                  <c:v>2022-04-11</c:v>
                </c:pt>
                <c:pt idx="57">
                  <c:v>2022-04-18</c:v>
                </c:pt>
                <c:pt idx="58">
                  <c:v>2022-04-25</c:v>
                </c:pt>
                <c:pt idx="59">
                  <c:v>2022-05-02</c:v>
                </c:pt>
                <c:pt idx="60">
                  <c:v>2022-05-09</c:v>
                </c:pt>
                <c:pt idx="61">
                  <c:v>2022-05-16</c:v>
                </c:pt>
                <c:pt idx="62">
                  <c:v>2022-05-23</c:v>
                </c:pt>
                <c:pt idx="63">
                  <c:v>2022-05-30</c:v>
                </c:pt>
                <c:pt idx="64">
                  <c:v>2022-06-06</c:v>
                </c:pt>
                <c:pt idx="65">
                  <c:v>2022-06-13</c:v>
                </c:pt>
                <c:pt idx="66">
                  <c:v>2022-06-20</c:v>
                </c:pt>
                <c:pt idx="67">
                  <c:v>2022-06-27</c:v>
                </c:pt>
                <c:pt idx="68">
                  <c:v>2022-07-04</c:v>
                </c:pt>
                <c:pt idx="69">
                  <c:v>2022-07-11</c:v>
                </c:pt>
                <c:pt idx="70">
                  <c:v>2022-07-18</c:v>
                </c:pt>
                <c:pt idx="71">
                  <c:v>2022-07-26</c:v>
                </c:pt>
                <c:pt idx="72">
                  <c:v>2022-08-01</c:v>
                </c:pt>
                <c:pt idx="73">
                  <c:v>2022-08-08</c:v>
                </c:pt>
                <c:pt idx="74">
                  <c:v>2022-08-15</c:v>
                </c:pt>
                <c:pt idx="75">
                  <c:v>2022-08-22</c:v>
                </c:pt>
                <c:pt idx="76">
                  <c:v>2022-08-28</c:v>
                </c:pt>
                <c:pt idx="77">
                  <c:v>2022-09-04</c:v>
                </c:pt>
                <c:pt idx="78">
                  <c:v>2022-09-12</c:v>
                </c:pt>
                <c:pt idx="79">
                  <c:v>2022-09-19</c:v>
                </c:pt>
                <c:pt idx="80">
                  <c:v>2022-09-26</c:v>
                </c:pt>
                <c:pt idx="81">
                  <c:v>2022-10-07</c:v>
                </c:pt>
                <c:pt idx="82">
                  <c:v>2022-10-21</c:v>
                </c:pt>
                <c:pt idx="83">
                  <c:v>2022-10-28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MarketShare!$S$2:$S$85</c15:sqref>
                  </c15:fullRef>
                </c:ext>
              </c:extLst>
              <c:f>MarketShare!$S$3:$S$85</c:f>
              <c:numCache>
                <c:formatCode>0%</c:formatCode>
                <c:ptCount val="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7.5833821102897752E-3</c:v>
                </c:pt>
                <c:pt idx="17">
                  <c:v>7.3745992794035403E-2</c:v>
                </c:pt>
                <c:pt idx="18">
                  <c:v>6.9256023479256981E-2</c:v>
                </c:pt>
                <c:pt idx="19">
                  <c:v>0.13091782989058912</c:v>
                </c:pt>
                <c:pt idx="20">
                  <c:v>0.16265827351871268</c:v>
                </c:pt>
                <c:pt idx="21">
                  <c:v>0.1804077394263838</c:v>
                </c:pt>
                <c:pt idx="22">
                  <c:v>0.16006135497915699</c:v>
                </c:pt>
                <c:pt idx="23">
                  <c:v>0.18363571218212016</c:v>
                </c:pt>
                <c:pt idx="24">
                  <c:v>0.19844773153323339</c:v>
                </c:pt>
                <c:pt idx="25">
                  <c:v>0.20081339320507788</c:v>
                </c:pt>
                <c:pt idx="26">
                  <c:v>0.18790706578841232</c:v>
                </c:pt>
                <c:pt idx="27">
                  <c:v>0.21669601262599936</c:v>
                </c:pt>
                <c:pt idx="28">
                  <c:v>0.2574163507495712</c:v>
                </c:pt>
                <c:pt idx="29">
                  <c:v>0.25504246468339231</c:v>
                </c:pt>
                <c:pt idx="30">
                  <c:v>0.21218753934510379</c:v>
                </c:pt>
                <c:pt idx="31">
                  <c:v>0.1883187423161542</c:v>
                </c:pt>
                <c:pt idx="32">
                  <c:v>0.17172721013306083</c:v>
                </c:pt>
                <c:pt idx="33">
                  <c:v>0.12991315022444028</c:v>
                </c:pt>
                <c:pt idx="34">
                  <c:v>0.1282086790069841</c:v>
                </c:pt>
                <c:pt idx="35">
                  <c:v>9.7020357479861402E-2</c:v>
                </c:pt>
                <c:pt idx="36">
                  <c:v>9.1063999656891367E-2</c:v>
                </c:pt>
                <c:pt idx="37">
                  <c:v>8.1869283768184684E-2</c:v>
                </c:pt>
                <c:pt idx="38">
                  <c:v>8.2963437317027863E-2</c:v>
                </c:pt>
                <c:pt idx="39">
                  <c:v>8.0608132047545189E-2</c:v>
                </c:pt>
                <c:pt idx="40">
                  <c:v>6.9194263933069114E-2</c:v>
                </c:pt>
                <c:pt idx="41">
                  <c:v>5.5318865127010293E-2</c:v>
                </c:pt>
                <c:pt idx="42">
                  <c:v>4.1098998034234883E-2</c:v>
                </c:pt>
                <c:pt idx="43">
                  <c:v>3.8719455166046836E-2</c:v>
                </c:pt>
                <c:pt idx="44">
                  <c:v>3.4689857883094449E-2</c:v>
                </c:pt>
                <c:pt idx="45">
                  <c:v>5.2555128096033583E-2</c:v>
                </c:pt>
                <c:pt idx="46">
                  <c:v>5.5668137966297965E-2</c:v>
                </c:pt>
                <c:pt idx="47">
                  <c:v>3.4488754527800349E-2</c:v>
                </c:pt>
                <c:pt idx="48">
                  <c:v>2.5192301406109945E-2</c:v>
                </c:pt>
                <c:pt idx="49">
                  <c:v>1.9925251749913189E-2</c:v>
                </c:pt>
                <c:pt idx="50">
                  <c:v>2.1705079436115462E-2</c:v>
                </c:pt>
                <c:pt idx="51">
                  <c:v>1.4936470794060403E-2</c:v>
                </c:pt>
                <c:pt idx="52">
                  <c:v>1.6488614555052662E-2</c:v>
                </c:pt>
                <c:pt idx="53">
                  <c:v>1.6985766645876112E-2</c:v>
                </c:pt>
                <c:pt idx="54">
                  <c:v>1.5855635535540442E-2</c:v>
                </c:pt>
                <c:pt idx="55">
                  <c:v>1.462116348578061E-2</c:v>
                </c:pt>
                <c:pt idx="56">
                  <c:v>1.5549222538873057E-2</c:v>
                </c:pt>
                <c:pt idx="57">
                  <c:v>1.0168271393863042E-2</c:v>
                </c:pt>
                <c:pt idx="58">
                  <c:v>5.9742750877452401E-3</c:v>
                </c:pt>
                <c:pt idx="59">
                  <c:v>8.7726037395204123E-3</c:v>
                </c:pt>
                <c:pt idx="60">
                  <c:v>5.5589795058305948E-3</c:v>
                </c:pt>
                <c:pt idx="61">
                  <c:v>4.4583809463824581E-3</c:v>
                </c:pt>
                <c:pt idx="62">
                  <c:v>3.1070813207920234E-3</c:v>
                </c:pt>
                <c:pt idx="63">
                  <c:v>1.0167273678930496E-2</c:v>
                </c:pt>
                <c:pt idx="64">
                  <c:v>7.0208465989313696E-3</c:v>
                </c:pt>
                <c:pt idx="65">
                  <c:v>1.3334080340635329E-2</c:v>
                </c:pt>
                <c:pt idx="66">
                  <c:v>1.0618642914097901E-2</c:v>
                </c:pt>
                <c:pt idx="67">
                  <c:v>7.7465423070939001E-3</c:v>
                </c:pt>
                <c:pt idx="68">
                  <c:v>6.4116090703978442E-3</c:v>
                </c:pt>
                <c:pt idx="69">
                  <c:v>1.0314613558898586E-2</c:v>
                </c:pt>
                <c:pt idx="70">
                  <c:v>4.1775214533132966E-3</c:v>
                </c:pt>
                <c:pt idx="71">
                  <c:v>1.011284271712214E-2</c:v>
                </c:pt>
                <c:pt idx="72">
                  <c:v>8.111431435155048E-3</c:v>
                </c:pt>
                <c:pt idx="73">
                  <c:v>1.5199869376122549E-2</c:v>
                </c:pt>
                <c:pt idx="74">
                  <c:v>1.2893343464678993E-2</c:v>
                </c:pt>
                <c:pt idx="75">
                  <c:v>1.4678764817795989E-2</c:v>
                </c:pt>
                <c:pt idx="76">
                  <c:v>1.4380512103171218E-2</c:v>
                </c:pt>
                <c:pt idx="77">
                  <c:v>2.0593552939101291E-2</c:v>
                </c:pt>
                <c:pt idx="78">
                  <c:v>1.4444589252356749E-2</c:v>
                </c:pt>
                <c:pt idx="79">
                  <c:v>1.8696300192880939E-2</c:v>
                </c:pt>
                <c:pt idx="80">
                  <c:v>1.6482869589105609E-2</c:v>
                </c:pt>
                <c:pt idx="81">
                  <c:v>1.3641438904801203E-2</c:v>
                </c:pt>
                <c:pt idx="82">
                  <c:v>1.8026606577978072E-2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0B-49C8-BE0B-B6F644D54690}"/>
            </c:ext>
          </c:extLst>
        </c:ser>
        <c:ser>
          <c:idx val="3"/>
          <c:order val="3"/>
          <c:tx>
            <c:v>Pfizer</c:v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MarketShare!$A$1:$A$85</c15:sqref>
                  </c15:fullRef>
                </c:ext>
              </c:extLst>
              <c:f>MarketShare!$A$2:$A$85</c:f>
              <c:strCache>
                <c:ptCount val="84"/>
                <c:pt idx="0">
                  <c:v>2021-02-28</c:v>
                </c:pt>
                <c:pt idx="1">
                  <c:v>2021-03-08</c:v>
                </c:pt>
                <c:pt idx="2">
                  <c:v>2021-03-15</c:v>
                </c:pt>
                <c:pt idx="3">
                  <c:v>2021-03-22</c:v>
                </c:pt>
                <c:pt idx="4">
                  <c:v>2021-03-29</c:v>
                </c:pt>
                <c:pt idx="5">
                  <c:v>2021-04-05</c:v>
                </c:pt>
                <c:pt idx="6">
                  <c:v>2021-04-12</c:v>
                </c:pt>
                <c:pt idx="7">
                  <c:v>2021-04-19</c:v>
                </c:pt>
                <c:pt idx="8">
                  <c:v>2021-04-26</c:v>
                </c:pt>
                <c:pt idx="9">
                  <c:v>2021-05-03</c:v>
                </c:pt>
                <c:pt idx="10">
                  <c:v>2021-05-10</c:v>
                </c:pt>
                <c:pt idx="11">
                  <c:v>2021-05-17</c:v>
                </c:pt>
                <c:pt idx="12">
                  <c:v>2021-05-24</c:v>
                </c:pt>
                <c:pt idx="13">
                  <c:v>2021-05-31</c:v>
                </c:pt>
                <c:pt idx="14">
                  <c:v>2021-06-07</c:v>
                </c:pt>
                <c:pt idx="15">
                  <c:v>2021-06-14</c:v>
                </c:pt>
                <c:pt idx="16">
                  <c:v>2021-06-21</c:v>
                </c:pt>
                <c:pt idx="17">
                  <c:v>2021-06-28</c:v>
                </c:pt>
                <c:pt idx="18">
                  <c:v>2021-07-05</c:v>
                </c:pt>
                <c:pt idx="19">
                  <c:v>2021-07-12</c:v>
                </c:pt>
                <c:pt idx="20">
                  <c:v>2021-07-19</c:v>
                </c:pt>
                <c:pt idx="21">
                  <c:v>2021-07-25</c:v>
                </c:pt>
                <c:pt idx="22">
                  <c:v>2021-08-02</c:v>
                </c:pt>
                <c:pt idx="23">
                  <c:v>2021-08-09</c:v>
                </c:pt>
                <c:pt idx="24">
                  <c:v>2021-08-16</c:v>
                </c:pt>
                <c:pt idx="25">
                  <c:v>2021-08-23</c:v>
                </c:pt>
                <c:pt idx="26">
                  <c:v>2021-08-30</c:v>
                </c:pt>
                <c:pt idx="27">
                  <c:v>2021-09-06</c:v>
                </c:pt>
                <c:pt idx="28">
                  <c:v>2021-09-13</c:v>
                </c:pt>
                <c:pt idx="29">
                  <c:v>2021-09-20</c:v>
                </c:pt>
                <c:pt idx="30">
                  <c:v>2021-10-04</c:v>
                </c:pt>
                <c:pt idx="31">
                  <c:v>2021-10-11</c:v>
                </c:pt>
                <c:pt idx="32">
                  <c:v>2021-10-18</c:v>
                </c:pt>
                <c:pt idx="33">
                  <c:v>2021-10-25</c:v>
                </c:pt>
                <c:pt idx="34">
                  <c:v>2021-11-01</c:v>
                </c:pt>
                <c:pt idx="35">
                  <c:v>2021-11-08</c:v>
                </c:pt>
                <c:pt idx="36">
                  <c:v>2021-11-15</c:v>
                </c:pt>
                <c:pt idx="37">
                  <c:v>2021-11-22</c:v>
                </c:pt>
                <c:pt idx="38">
                  <c:v>2021-11-29</c:v>
                </c:pt>
                <c:pt idx="39">
                  <c:v>2021-12-06</c:v>
                </c:pt>
                <c:pt idx="40">
                  <c:v>2021-12-13</c:v>
                </c:pt>
                <c:pt idx="41">
                  <c:v>2021-12-20</c:v>
                </c:pt>
                <c:pt idx="42">
                  <c:v>2021-12-26</c:v>
                </c:pt>
                <c:pt idx="43">
                  <c:v>2022-01-03</c:v>
                </c:pt>
                <c:pt idx="44">
                  <c:v>2022-01-17</c:v>
                </c:pt>
                <c:pt idx="45">
                  <c:v>2022-01-24</c:v>
                </c:pt>
                <c:pt idx="46">
                  <c:v>2022-01-31</c:v>
                </c:pt>
                <c:pt idx="47">
                  <c:v>2022-02-07</c:v>
                </c:pt>
                <c:pt idx="48">
                  <c:v>2022-02-14</c:v>
                </c:pt>
                <c:pt idx="49">
                  <c:v>2022-02-21</c:v>
                </c:pt>
                <c:pt idx="50">
                  <c:v>2022-02-28</c:v>
                </c:pt>
                <c:pt idx="51">
                  <c:v>2022-03-07</c:v>
                </c:pt>
                <c:pt idx="52">
                  <c:v>2022-03-14</c:v>
                </c:pt>
                <c:pt idx="53">
                  <c:v>2022-03-21</c:v>
                </c:pt>
                <c:pt idx="54">
                  <c:v>2022-03-28</c:v>
                </c:pt>
                <c:pt idx="55">
                  <c:v>2022-04-03</c:v>
                </c:pt>
                <c:pt idx="56">
                  <c:v>2022-04-11</c:v>
                </c:pt>
                <c:pt idx="57">
                  <c:v>2022-04-18</c:v>
                </c:pt>
                <c:pt idx="58">
                  <c:v>2022-04-25</c:v>
                </c:pt>
                <c:pt idx="59">
                  <c:v>2022-05-02</c:v>
                </c:pt>
                <c:pt idx="60">
                  <c:v>2022-05-09</c:v>
                </c:pt>
                <c:pt idx="61">
                  <c:v>2022-05-16</c:v>
                </c:pt>
                <c:pt idx="62">
                  <c:v>2022-05-23</c:v>
                </c:pt>
                <c:pt idx="63">
                  <c:v>2022-05-30</c:v>
                </c:pt>
                <c:pt idx="64">
                  <c:v>2022-06-06</c:v>
                </c:pt>
                <c:pt idx="65">
                  <c:v>2022-06-13</c:v>
                </c:pt>
                <c:pt idx="66">
                  <c:v>2022-06-20</c:v>
                </c:pt>
                <c:pt idx="67">
                  <c:v>2022-06-27</c:v>
                </c:pt>
                <c:pt idx="68">
                  <c:v>2022-07-04</c:v>
                </c:pt>
                <c:pt idx="69">
                  <c:v>2022-07-11</c:v>
                </c:pt>
                <c:pt idx="70">
                  <c:v>2022-07-18</c:v>
                </c:pt>
                <c:pt idx="71">
                  <c:v>2022-07-26</c:v>
                </c:pt>
                <c:pt idx="72">
                  <c:v>2022-08-01</c:v>
                </c:pt>
                <c:pt idx="73">
                  <c:v>2022-08-08</c:v>
                </c:pt>
                <c:pt idx="74">
                  <c:v>2022-08-15</c:v>
                </c:pt>
                <c:pt idx="75">
                  <c:v>2022-08-22</c:v>
                </c:pt>
                <c:pt idx="76">
                  <c:v>2022-08-28</c:v>
                </c:pt>
                <c:pt idx="77">
                  <c:v>2022-09-04</c:v>
                </c:pt>
                <c:pt idx="78">
                  <c:v>2022-09-12</c:v>
                </c:pt>
                <c:pt idx="79">
                  <c:v>2022-09-19</c:v>
                </c:pt>
                <c:pt idx="80">
                  <c:v>2022-09-26</c:v>
                </c:pt>
                <c:pt idx="81">
                  <c:v>2022-10-07</c:v>
                </c:pt>
                <c:pt idx="82">
                  <c:v>2022-10-21</c:v>
                </c:pt>
                <c:pt idx="83">
                  <c:v>2022-10-28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MarketShare!$T$2:$T$85</c15:sqref>
                  </c15:fullRef>
                </c:ext>
              </c:extLst>
              <c:f>MarketShare!$T$3:$T$85</c:f>
              <c:numCache>
                <c:formatCode>0%</c:formatCode>
                <c:ptCount val="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1.7321170315165352E-2</c:v>
                </c:pt>
                <c:pt idx="23">
                  <c:v>2.1608892363910972E-2</c:v>
                </c:pt>
                <c:pt idx="24">
                  <c:v>3.1637796321811192E-2</c:v>
                </c:pt>
                <c:pt idx="25">
                  <c:v>3.9416643574989557E-2</c:v>
                </c:pt>
                <c:pt idx="26">
                  <c:v>2.5545334836012224E-2</c:v>
                </c:pt>
                <c:pt idx="27">
                  <c:v>3.7097348321870102E-2</c:v>
                </c:pt>
                <c:pt idx="28">
                  <c:v>4.0830315249284099E-2</c:v>
                </c:pt>
                <c:pt idx="29">
                  <c:v>1.4468206394293437E-2</c:v>
                </c:pt>
                <c:pt idx="30">
                  <c:v>0.1793992488188999</c:v>
                </c:pt>
                <c:pt idx="31">
                  <c:v>0.22471175245205868</c:v>
                </c:pt>
                <c:pt idx="32">
                  <c:v>0.21549726012893591</c:v>
                </c:pt>
                <c:pt idx="33">
                  <c:v>0.28469421927640332</c:v>
                </c:pt>
                <c:pt idx="34">
                  <c:v>0.3104145366771594</c:v>
                </c:pt>
                <c:pt idx="35">
                  <c:v>0.29094050111045722</c:v>
                </c:pt>
                <c:pt idx="36">
                  <c:v>0.25346600200366642</c:v>
                </c:pt>
                <c:pt idx="37">
                  <c:v>0.26371550715430286</c:v>
                </c:pt>
                <c:pt idx="38">
                  <c:v>0.42046262410752705</c:v>
                </c:pt>
                <c:pt idx="39">
                  <c:v>0.48309087297559661</c:v>
                </c:pt>
                <c:pt idx="40">
                  <c:v>0.56560846400402698</c:v>
                </c:pt>
                <c:pt idx="41">
                  <c:v>0.64638303392584529</c:v>
                </c:pt>
                <c:pt idx="42">
                  <c:v>0.69773464799757756</c:v>
                </c:pt>
                <c:pt idx="43">
                  <c:v>0.68958363084522878</c:v>
                </c:pt>
                <c:pt idx="44">
                  <c:v>0.62560649677282509</c:v>
                </c:pt>
                <c:pt idx="45">
                  <c:v>0.58580217332563012</c:v>
                </c:pt>
                <c:pt idx="46">
                  <c:v>0.62764025596101936</c:v>
                </c:pt>
                <c:pt idx="47">
                  <c:v>0.7171657002768328</c:v>
                </c:pt>
                <c:pt idx="48">
                  <c:v>0.75622667737922988</c:v>
                </c:pt>
                <c:pt idx="49">
                  <c:v>0.79941791399382278</c:v>
                </c:pt>
                <c:pt idx="50">
                  <c:v>0.83182690226661626</c:v>
                </c:pt>
                <c:pt idx="51">
                  <c:v>0.86459102600550763</c:v>
                </c:pt>
                <c:pt idx="52">
                  <c:v>0.86805506723904036</c:v>
                </c:pt>
                <c:pt idx="53">
                  <c:v>0.86340079751634624</c:v>
                </c:pt>
                <c:pt idx="54">
                  <c:v>0.87654205269021757</c:v>
                </c:pt>
                <c:pt idx="55">
                  <c:v>0.89586194288435295</c:v>
                </c:pt>
                <c:pt idx="56">
                  <c:v>0.88172019970430049</c:v>
                </c:pt>
                <c:pt idx="57">
                  <c:v>0.91879580471319877</c:v>
                </c:pt>
                <c:pt idx="58">
                  <c:v>0.93601631476153213</c:v>
                </c:pt>
                <c:pt idx="59">
                  <c:v>0.94451940344373919</c:v>
                </c:pt>
                <c:pt idx="60">
                  <c:v>0.94920914868686768</c:v>
                </c:pt>
                <c:pt idx="61">
                  <c:v>0.95024248913522702</c:v>
                </c:pt>
                <c:pt idx="62">
                  <c:v>0.95204031673398681</c:v>
                </c:pt>
                <c:pt idx="63">
                  <c:v>0.92701022833838576</c:v>
                </c:pt>
                <c:pt idx="64">
                  <c:v>0.92926552421029318</c:v>
                </c:pt>
                <c:pt idx="65">
                  <c:v>0.91764244495489944</c:v>
                </c:pt>
                <c:pt idx="66">
                  <c:v>0.90358298164751027</c:v>
                </c:pt>
                <c:pt idx="67">
                  <c:v>0.88347431603599769</c:v>
                </c:pt>
                <c:pt idx="68">
                  <c:v>0.91474183128540587</c:v>
                </c:pt>
                <c:pt idx="69">
                  <c:v>0.88254189196423793</c:v>
                </c:pt>
                <c:pt idx="70">
                  <c:v>0.93239957992700939</c:v>
                </c:pt>
                <c:pt idx="71">
                  <c:v>0.8937261821794511</c:v>
                </c:pt>
                <c:pt idx="72">
                  <c:v>0.93237029459479004</c:v>
                </c:pt>
                <c:pt idx="73">
                  <c:v>0.90811797711113418</c:v>
                </c:pt>
                <c:pt idx="74">
                  <c:v>0.92976806455114525</c:v>
                </c:pt>
                <c:pt idx="75">
                  <c:v>0.9225962242060588</c:v>
                </c:pt>
                <c:pt idx="76">
                  <c:v>0.91434810051005611</c:v>
                </c:pt>
                <c:pt idx="77">
                  <c:v>0.90269876967852891</c:v>
                </c:pt>
                <c:pt idx="78">
                  <c:v>0.91795907728398285</c:v>
                </c:pt>
                <c:pt idx="79">
                  <c:v>0.87169033841837629</c:v>
                </c:pt>
                <c:pt idx="80">
                  <c:v>0.88844629331658886</c:v>
                </c:pt>
                <c:pt idx="81">
                  <c:v>0.86069712121947672</c:v>
                </c:pt>
                <c:pt idx="82">
                  <c:v>0.89231702560991466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0B-49C8-BE0B-B6F644D54690}"/>
            </c:ext>
          </c:extLst>
        </c:ser>
        <c:ser>
          <c:idx val="4"/>
          <c:order val="4"/>
          <c:tx>
            <c:v>Moderna</c:v>
          </c:tx>
          <c:spPr>
            <a:solidFill>
              <a:schemeClr val="accent5">
                <a:tint val="54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MarketShare!$A$1:$A$85</c15:sqref>
                  </c15:fullRef>
                </c:ext>
              </c:extLst>
              <c:f>MarketShare!$A$2:$A$85</c:f>
              <c:strCache>
                <c:ptCount val="84"/>
                <c:pt idx="0">
                  <c:v>2021-02-28</c:v>
                </c:pt>
                <c:pt idx="1">
                  <c:v>2021-03-08</c:v>
                </c:pt>
                <c:pt idx="2">
                  <c:v>2021-03-15</c:v>
                </c:pt>
                <c:pt idx="3">
                  <c:v>2021-03-22</c:v>
                </c:pt>
                <c:pt idx="4">
                  <c:v>2021-03-29</c:v>
                </c:pt>
                <c:pt idx="5">
                  <c:v>2021-04-05</c:v>
                </c:pt>
                <c:pt idx="6">
                  <c:v>2021-04-12</c:v>
                </c:pt>
                <c:pt idx="7">
                  <c:v>2021-04-19</c:v>
                </c:pt>
                <c:pt idx="8">
                  <c:v>2021-04-26</c:v>
                </c:pt>
                <c:pt idx="9">
                  <c:v>2021-05-03</c:v>
                </c:pt>
                <c:pt idx="10">
                  <c:v>2021-05-10</c:v>
                </c:pt>
                <c:pt idx="11">
                  <c:v>2021-05-17</c:v>
                </c:pt>
                <c:pt idx="12">
                  <c:v>2021-05-24</c:v>
                </c:pt>
                <c:pt idx="13">
                  <c:v>2021-05-31</c:v>
                </c:pt>
                <c:pt idx="14">
                  <c:v>2021-06-07</c:v>
                </c:pt>
                <c:pt idx="15">
                  <c:v>2021-06-14</c:v>
                </c:pt>
                <c:pt idx="16">
                  <c:v>2021-06-21</c:v>
                </c:pt>
                <c:pt idx="17">
                  <c:v>2021-06-28</c:v>
                </c:pt>
                <c:pt idx="18">
                  <c:v>2021-07-05</c:v>
                </c:pt>
                <c:pt idx="19">
                  <c:v>2021-07-12</c:v>
                </c:pt>
                <c:pt idx="20">
                  <c:v>2021-07-19</c:v>
                </c:pt>
                <c:pt idx="21">
                  <c:v>2021-07-25</c:v>
                </c:pt>
                <c:pt idx="22">
                  <c:v>2021-08-02</c:v>
                </c:pt>
                <c:pt idx="23">
                  <c:v>2021-08-09</c:v>
                </c:pt>
                <c:pt idx="24">
                  <c:v>2021-08-16</c:v>
                </c:pt>
                <c:pt idx="25">
                  <c:v>2021-08-23</c:v>
                </c:pt>
                <c:pt idx="26">
                  <c:v>2021-08-30</c:v>
                </c:pt>
                <c:pt idx="27">
                  <c:v>2021-09-06</c:v>
                </c:pt>
                <c:pt idx="28">
                  <c:v>2021-09-13</c:v>
                </c:pt>
                <c:pt idx="29">
                  <c:v>2021-09-20</c:v>
                </c:pt>
                <c:pt idx="30">
                  <c:v>2021-10-04</c:v>
                </c:pt>
                <c:pt idx="31">
                  <c:v>2021-10-11</c:v>
                </c:pt>
                <c:pt idx="32">
                  <c:v>2021-10-18</c:v>
                </c:pt>
                <c:pt idx="33">
                  <c:v>2021-10-25</c:v>
                </c:pt>
                <c:pt idx="34">
                  <c:v>2021-11-01</c:v>
                </c:pt>
                <c:pt idx="35">
                  <c:v>2021-11-08</c:v>
                </c:pt>
                <c:pt idx="36">
                  <c:v>2021-11-15</c:v>
                </c:pt>
                <c:pt idx="37">
                  <c:v>2021-11-22</c:v>
                </c:pt>
                <c:pt idx="38">
                  <c:v>2021-11-29</c:v>
                </c:pt>
                <c:pt idx="39">
                  <c:v>2021-12-06</c:v>
                </c:pt>
                <c:pt idx="40">
                  <c:v>2021-12-13</c:v>
                </c:pt>
                <c:pt idx="41">
                  <c:v>2021-12-20</c:v>
                </c:pt>
                <c:pt idx="42">
                  <c:v>2021-12-26</c:v>
                </c:pt>
                <c:pt idx="43">
                  <c:v>2022-01-03</c:v>
                </c:pt>
                <c:pt idx="44">
                  <c:v>2022-01-17</c:v>
                </c:pt>
                <c:pt idx="45">
                  <c:v>2022-01-24</c:v>
                </c:pt>
                <c:pt idx="46">
                  <c:v>2022-01-31</c:v>
                </c:pt>
                <c:pt idx="47">
                  <c:v>2022-02-07</c:v>
                </c:pt>
                <c:pt idx="48">
                  <c:v>2022-02-14</c:v>
                </c:pt>
                <c:pt idx="49">
                  <c:v>2022-02-21</c:v>
                </c:pt>
                <c:pt idx="50">
                  <c:v>2022-02-28</c:v>
                </c:pt>
                <c:pt idx="51">
                  <c:v>2022-03-07</c:v>
                </c:pt>
                <c:pt idx="52">
                  <c:v>2022-03-14</c:v>
                </c:pt>
                <c:pt idx="53">
                  <c:v>2022-03-21</c:v>
                </c:pt>
                <c:pt idx="54">
                  <c:v>2022-03-28</c:v>
                </c:pt>
                <c:pt idx="55">
                  <c:v>2022-04-03</c:v>
                </c:pt>
                <c:pt idx="56">
                  <c:v>2022-04-11</c:v>
                </c:pt>
                <c:pt idx="57">
                  <c:v>2022-04-18</c:v>
                </c:pt>
                <c:pt idx="58">
                  <c:v>2022-04-25</c:v>
                </c:pt>
                <c:pt idx="59">
                  <c:v>2022-05-02</c:v>
                </c:pt>
                <c:pt idx="60">
                  <c:v>2022-05-09</c:v>
                </c:pt>
                <c:pt idx="61">
                  <c:v>2022-05-16</c:v>
                </c:pt>
                <c:pt idx="62">
                  <c:v>2022-05-23</c:v>
                </c:pt>
                <c:pt idx="63">
                  <c:v>2022-05-30</c:v>
                </c:pt>
                <c:pt idx="64">
                  <c:v>2022-06-06</c:v>
                </c:pt>
                <c:pt idx="65">
                  <c:v>2022-06-13</c:v>
                </c:pt>
                <c:pt idx="66">
                  <c:v>2022-06-20</c:v>
                </c:pt>
                <c:pt idx="67">
                  <c:v>2022-06-27</c:v>
                </c:pt>
                <c:pt idx="68">
                  <c:v>2022-07-04</c:v>
                </c:pt>
                <c:pt idx="69">
                  <c:v>2022-07-11</c:v>
                </c:pt>
                <c:pt idx="70">
                  <c:v>2022-07-18</c:v>
                </c:pt>
                <c:pt idx="71">
                  <c:v>2022-07-26</c:v>
                </c:pt>
                <c:pt idx="72">
                  <c:v>2022-08-01</c:v>
                </c:pt>
                <c:pt idx="73">
                  <c:v>2022-08-08</c:v>
                </c:pt>
                <c:pt idx="74">
                  <c:v>2022-08-15</c:v>
                </c:pt>
                <c:pt idx="75">
                  <c:v>2022-08-22</c:v>
                </c:pt>
                <c:pt idx="76">
                  <c:v>2022-08-28</c:v>
                </c:pt>
                <c:pt idx="77">
                  <c:v>2022-09-04</c:v>
                </c:pt>
                <c:pt idx="78">
                  <c:v>2022-09-12</c:v>
                </c:pt>
                <c:pt idx="79">
                  <c:v>2022-09-19</c:v>
                </c:pt>
                <c:pt idx="80">
                  <c:v>2022-09-26</c:v>
                </c:pt>
                <c:pt idx="81">
                  <c:v>2022-10-07</c:v>
                </c:pt>
                <c:pt idx="82">
                  <c:v>2022-10-21</c:v>
                </c:pt>
                <c:pt idx="83">
                  <c:v>2022-10-28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MarketShare!$U$2:$U$85</c15:sqref>
                  </c15:fullRef>
                </c:ext>
              </c:extLst>
              <c:f>MarketShare!$U$3:$U$85</c:f>
              <c:numCache>
                <c:formatCode>0%</c:formatCode>
                <c:ptCount val="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4.6816182850506913E-2</c:v>
                </c:pt>
                <c:pt idx="37">
                  <c:v>3.3487485308040056E-2</c:v>
                </c:pt>
                <c:pt idx="38">
                  <c:v>6.3397420773799215E-2</c:v>
                </c:pt>
                <c:pt idx="39">
                  <c:v>0.12275096561759986</c:v>
                </c:pt>
                <c:pt idx="40">
                  <c:v>0.11497969815600428</c:v>
                </c:pt>
                <c:pt idx="41">
                  <c:v>0.10808938909438977</c:v>
                </c:pt>
                <c:pt idx="42">
                  <c:v>0.11160950304795825</c:v>
                </c:pt>
                <c:pt idx="43">
                  <c:v>0.10835433515896689</c:v>
                </c:pt>
                <c:pt idx="44">
                  <c:v>0.12248598527317354</c:v>
                </c:pt>
                <c:pt idx="45">
                  <c:v>7.8326607937012668E-2</c:v>
                </c:pt>
                <c:pt idx="46">
                  <c:v>5.8083751287700484E-2</c:v>
                </c:pt>
                <c:pt idx="47">
                  <c:v>5.742903576790117E-2</c:v>
                </c:pt>
                <c:pt idx="48">
                  <c:v>6.7516675297505893E-2</c:v>
                </c:pt>
                <c:pt idx="49">
                  <c:v>5.3237567849114535E-2</c:v>
                </c:pt>
                <c:pt idx="50">
                  <c:v>4.3953060977443885E-2</c:v>
                </c:pt>
                <c:pt idx="51">
                  <c:v>3.5442786705716704E-2</c:v>
                </c:pt>
                <c:pt idx="52">
                  <c:v>2.8056713699407789E-2</c:v>
                </c:pt>
                <c:pt idx="53">
                  <c:v>2.687938441269018E-2</c:v>
                </c:pt>
                <c:pt idx="54">
                  <c:v>2.158394454468571E-2</c:v>
                </c:pt>
                <c:pt idx="55">
                  <c:v>2.5392526582967343E-2</c:v>
                </c:pt>
                <c:pt idx="56">
                  <c:v>2.5420157563550393E-2</c:v>
                </c:pt>
                <c:pt idx="57">
                  <c:v>1.9736644770389035E-2</c:v>
                </c:pt>
                <c:pt idx="58">
                  <c:v>1.3466250171999154E-2</c:v>
                </c:pt>
                <c:pt idx="59">
                  <c:v>1.4560985681497345E-2</c:v>
                </c:pt>
                <c:pt idx="60">
                  <c:v>1.1283607831291549E-2</c:v>
                </c:pt>
                <c:pt idx="61">
                  <c:v>1.1294415101809447E-2</c:v>
                </c:pt>
                <c:pt idx="62">
                  <c:v>1.3160372473142577E-2</c:v>
                </c:pt>
                <c:pt idx="63">
                  <c:v>1.584192964473426E-2</c:v>
                </c:pt>
                <c:pt idx="64">
                  <c:v>2.7097810138146786E-2</c:v>
                </c:pt>
                <c:pt idx="65">
                  <c:v>2.8342702049912537E-2</c:v>
                </c:pt>
                <c:pt idx="66">
                  <c:v>3.017042986704007E-2</c:v>
                </c:pt>
                <c:pt idx="67">
                  <c:v>3.9125770764582089E-2</c:v>
                </c:pt>
                <c:pt idx="68">
                  <c:v>3.8088204262502638E-2</c:v>
                </c:pt>
                <c:pt idx="69">
                  <c:v>6.8133554615700337E-2</c:v>
                </c:pt>
                <c:pt idx="70">
                  <c:v>3.0582938306131093E-2</c:v>
                </c:pt>
                <c:pt idx="71">
                  <c:v>5.1557703999169618E-2</c:v>
                </c:pt>
                <c:pt idx="72">
                  <c:v>3.1185095632226666E-2</c:v>
                </c:pt>
                <c:pt idx="73">
                  <c:v>4.4768365271860948E-2</c:v>
                </c:pt>
                <c:pt idx="74">
                  <c:v>2.6908371627407703E-2</c:v>
                </c:pt>
                <c:pt idx="75">
                  <c:v>2.4293867993560661E-2</c:v>
                </c:pt>
                <c:pt idx="76">
                  <c:v>2.9528667201173642E-2</c:v>
                </c:pt>
                <c:pt idx="77">
                  <c:v>3.0361158883450191E-2</c:v>
                </c:pt>
                <c:pt idx="78">
                  <c:v>4.2160823667405187E-2</c:v>
                </c:pt>
                <c:pt idx="79">
                  <c:v>3.7195335788181662E-2</c:v>
                </c:pt>
                <c:pt idx="80">
                  <c:v>6.7167693575605356E-2</c:v>
                </c:pt>
                <c:pt idx="81">
                  <c:v>8.2819554347298416E-2</c:v>
                </c:pt>
                <c:pt idx="82">
                  <c:v>4.6756510811630625E-2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0B-49C8-BE0B-B6F644D54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12240"/>
        <c:axId val="88996848"/>
      </c:areaChart>
      <c:dateAx>
        <c:axId val="89012240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6848"/>
        <c:crosses val="autoZero"/>
        <c:auto val="1"/>
        <c:lblOffset val="100"/>
        <c:baseTimeUnit val="days"/>
      </c:dateAx>
      <c:valAx>
        <c:axId val="889968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28039281863345"/>
          <c:y val="0.8704153299944617"/>
          <c:w val="0.70986702207071639"/>
          <c:h val="5.8240410657424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Market</a:t>
            </a:r>
            <a:r>
              <a:rPr lang="en-US" sz="2400" b="1" baseline="0"/>
              <a:t> share for booster doses</a:t>
            </a:r>
          </a:p>
        </c:rich>
      </c:tx>
      <c:layout>
        <c:manualLayout>
          <c:xMode val="edge"/>
          <c:yMode val="edge"/>
          <c:x val="0.27692767226480508"/>
          <c:y val="3.1212865626937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325745839269715E-2"/>
          <c:y val="0.1413148549883142"/>
          <c:w val="0.85369852322815654"/>
          <c:h val="0.52256230288123173"/>
        </c:manualLayout>
      </c:layout>
      <c:areaChart>
        <c:grouping val="percentStacked"/>
        <c:varyColors val="0"/>
        <c:ser>
          <c:idx val="1"/>
          <c:order val="1"/>
          <c:tx>
            <c:v>Astrazeneca</c:v>
          </c:tx>
          <c:spPr>
            <a:solidFill>
              <a:schemeClr val="accent2">
                <a:shade val="76000"/>
              </a:schemeClr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MarketShare!$A$2:$A$85</c15:sqref>
                  </c15:fullRef>
                </c:ext>
              </c:extLst>
              <c:f>MarketShare!$A$25:$A$85</c:f>
              <c:numCache>
                <c:formatCode>yyyy\-mm\-dd;@</c:formatCode>
                <c:ptCount val="61"/>
                <c:pt idx="0">
                  <c:v>44417</c:v>
                </c:pt>
                <c:pt idx="1">
                  <c:v>44424</c:v>
                </c:pt>
                <c:pt idx="2">
                  <c:v>44431</c:v>
                </c:pt>
                <c:pt idx="3">
                  <c:v>44438</c:v>
                </c:pt>
                <c:pt idx="4">
                  <c:v>44445</c:v>
                </c:pt>
                <c:pt idx="5">
                  <c:v>44452</c:v>
                </c:pt>
                <c:pt idx="6">
                  <c:v>44459</c:v>
                </c:pt>
                <c:pt idx="7">
                  <c:v>44473</c:v>
                </c:pt>
                <c:pt idx="8">
                  <c:v>44480</c:v>
                </c:pt>
                <c:pt idx="9">
                  <c:v>44487</c:v>
                </c:pt>
                <c:pt idx="10">
                  <c:v>44494</c:v>
                </c:pt>
                <c:pt idx="11">
                  <c:v>44501</c:v>
                </c:pt>
                <c:pt idx="12">
                  <c:v>44508</c:v>
                </c:pt>
                <c:pt idx="13">
                  <c:v>44515</c:v>
                </c:pt>
                <c:pt idx="14">
                  <c:v>44522</c:v>
                </c:pt>
                <c:pt idx="15">
                  <c:v>44529</c:v>
                </c:pt>
                <c:pt idx="16">
                  <c:v>44536</c:v>
                </c:pt>
                <c:pt idx="17">
                  <c:v>44543</c:v>
                </c:pt>
                <c:pt idx="18">
                  <c:v>44550</c:v>
                </c:pt>
                <c:pt idx="19">
                  <c:v>44556</c:v>
                </c:pt>
                <c:pt idx="20">
                  <c:v>44564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44599</c:v>
                </c:pt>
                <c:pt idx="25">
                  <c:v>44606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44654</c:v>
                </c:pt>
                <c:pt idx="33">
                  <c:v>44662</c:v>
                </c:pt>
                <c:pt idx="34">
                  <c:v>44669</c:v>
                </c:pt>
                <c:pt idx="35">
                  <c:v>44676</c:v>
                </c:pt>
                <c:pt idx="36">
                  <c:v>44683</c:v>
                </c:pt>
                <c:pt idx="37">
                  <c:v>44690</c:v>
                </c:pt>
                <c:pt idx="38">
                  <c:v>44697</c:v>
                </c:pt>
                <c:pt idx="39">
                  <c:v>44704</c:v>
                </c:pt>
                <c:pt idx="40">
                  <c:v>44711</c:v>
                </c:pt>
                <c:pt idx="41">
                  <c:v>44718</c:v>
                </c:pt>
                <c:pt idx="42">
                  <c:v>44725</c:v>
                </c:pt>
                <c:pt idx="43">
                  <c:v>44732</c:v>
                </c:pt>
                <c:pt idx="44">
                  <c:v>44739</c:v>
                </c:pt>
                <c:pt idx="45">
                  <c:v>44746</c:v>
                </c:pt>
                <c:pt idx="46">
                  <c:v>44753</c:v>
                </c:pt>
                <c:pt idx="47">
                  <c:v>44760</c:v>
                </c:pt>
                <c:pt idx="48">
                  <c:v>44768</c:v>
                </c:pt>
                <c:pt idx="49">
                  <c:v>44774</c:v>
                </c:pt>
                <c:pt idx="50">
                  <c:v>44781</c:v>
                </c:pt>
                <c:pt idx="51">
                  <c:v>44788</c:v>
                </c:pt>
                <c:pt idx="52">
                  <c:v>44795</c:v>
                </c:pt>
                <c:pt idx="53">
                  <c:v>44801</c:v>
                </c:pt>
                <c:pt idx="54">
                  <c:v>44808</c:v>
                </c:pt>
                <c:pt idx="55">
                  <c:v>44816</c:v>
                </c:pt>
                <c:pt idx="56">
                  <c:v>44823</c:v>
                </c:pt>
                <c:pt idx="57">
                  <c:v>44830</c:v>
                </c:pt>
                <c:pt idx="58">
                  <c:v>44841</c:v>
                </c:pt>
                <c:pt idx="59">
                  <c:v>44855</c:v>
                </c:pt>
                <c:pt idx="60">
                  <c:v>44862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MarketShare!$W$2:$W$85</c15:sqref>
                  </c15:fullRef>
                </c:ext>
              </c:extLst>
              <c:f>MarketShare!$W$25:$W$85</c:f>
              <c:numCache>
                <c:formatCode>0%</c:formatCode>
                <c:ptCount val="61"/>
                <c:pt idx="0">
                  <c:v>0.69035004589175519</c:v>
                </c:pt>
                <c:pt idx="1">
                  <c:v>5.3466406802167445E-2</c:v>
                </c:pt>
                <c:pt idx="2">
                  <c:v>0.13291418929776636</c:v>
                </c:pt>
                <c:pt idx="3">
                  <c:v>0.13187303252885624</c:v>
                </c:pt>
                <c:pt idx="4">
                  <c:v>0.21975293314296357</c:v>
                </c:pt>
                <c:pt idx="5">
                  <c:v>0.41118628777627425</c:v>
                </c:pt>
                <c:pt idx="6">
                  <c:v>0.36407586463369285</c:v>
                </c:pt>
                <c:pt idx="7">
                  <c:v>0.90652602510422797</c:v>
                </c:pt>
                <c:pt idx="8">
                  <c:v>0.97837917170367339</c:v>
                </c:pt>
                <c:pt idx="9">
                  <c:v>0.97988540600332819</c:v>
                </c:pt>
                <c:pt idx="10">
                  <c:v>0.91449509744090485</c:v>
                </c:pt>
                <c:pt idx="11">
                  <c:v>0.91530673299154119</c:v>
                </c:pt>
                <c:pt idx="12">
                  <c:v>0.82216582726373277</c:v>
                </c:pt>
                <c:pt idx="13">
                  <c:v>0.73331132219230966</c:v>
                </c:pt>
                <c:pt idx="14">
                  <c:v>0.43282880838608861</c:v>
                </c:pt>
                <c:pt idx="15">
                  <c:v>0.5149396035571</c:v>
                </c:pt>
                <c:pt idx="16">
                  <c:v>0.23469523457702254</c:v>
                </c:pt>
                <c:pt idx="17">
                  <c:v>0.10000717876752141</c:v>
                </c:pt>
                <c:pt idx="18">
                  <c:v>9.5682769507618032E-2</c:v>
                </c:pt>
                <c:pt idx="19">
                  <c:v>0.10819902503742303</c:v>
                </c:pt>
                <c:pt idx="20">
                  <c:v>0.12566044630168463</c:v>
                </c:pt>
                <c:pt idx="21">
                  <c:v>0.13676348252349815</c:v>
                </c:pt>
                <c:pt idx="22">
                  <c:v>0.17974665994992833</c:v>
                </c:pt>
                <c:pt idx="23">
                  <c:v>0.20261571002535569</c:v>
                </c:pt>
                <c:pt idx="24">
                  <c:v>0.13943812100835765</c:v>
                </c:pt>
                <c:pt idx="25">
                  <c:v>0.15432331210616429</c:v>
                </c:pt>
                <c:pt idx="26">
                  <c:v>0.1333795052269984</c:v>
                </c:pt>
                <c:pt idx="27">
                  <c:v>0.13164092682816436</c:v>
                </c:pt>
                <c:pt idx="28">
                  <c:v>0.14102600717805186</c:v>
                </c:pt>
                <c:pt idx="29">
                  <c:v>0.16073525625325771</c:v>
                </c:pt>
                <c:pt idx="30">
                  <c:v>0.16500855965736289</c:v>
                </c:pt>
                <c:pt idx="31">
                  <c:v>0.18730809593470429</c:v>
                </c:pt>
                <c:pt idx="32">
                  <c:v>0.16156045026353302</c:v>
                </c:pt>
                <c:pt idx="33">
                  <c:v>9.2599635882621087E-2</c:v>
                </c:pt>
                <c:pt idx="34">
                  <c:v>9.1041142244047371E-2</c:v>
                </c:pt>
                <c:pt idx="35">
                  <c:v>7.3071208208738372E-2</c:v>
                </c:pt>
                <c:pt idx="36">
                  <c:v>5.6236750819040275E-2</c:v>
                </c:pt>
                <c:pt idx="37">
                  <c:v>5.3541092297217353E-2</c:v>
                </c:pt>
                <c:pt idx="38">
                  <c:v>3.8180109726895214E-2</c:v>
                </c:pt>
                <c:pt idx="39">
                  <c:v>3.9904370074387609E-2</c:v>
                </c:pt>
                <c:pt idx="40">
                  <c:v>3.4047600221396378E-2</c:v>
                </c:pt>
                <c:pt idx="41">
                  <c:v>3.4215009997988571E-2</c:v>
                </c:pt>
                <c:pt idx="42">
                  <c:v>2.9234716457913583E-2</c:v>
                </c:pt>
                <c:pt idx="43">
                  <c:v>2.7712780298163688E-2</c:v>
                </c:pt>
                <c:pt idx="44">
                  <c:v>3.0080785893799228E-2</c:v>
                </c:pt>
                <c:pt idx="45">
                  <c:v>2.5619782674253296E-2</c:v>
                </c:pt>
                <c:pt idx="46">
                  <c:v>1.9990102620201074E-2</c:v>
                </c:pt>
                <c:pt idx="47">
                  <c:v>1.934692706091086E-2</c:v>
                </c:pt>
                <c:pt idx="48">
                  <c:v>2.1666879713664836E-2</c:v>
                </c:pt>
                <c:pt idx="49">
                  <c:v>2.2838608357351273E-2</c:v>
                </c:pt>
                <c:pt idx="50">
                  <c:v>2.1633141241709251E-2</c:v>
                </c:pt>
                <c:pt idx="51">
                  <c:v>1.4642264670269002E-2</c:v>
                </c:pt>
                <c:pt idx="52">
                  <c:v>1.5567340625345266E-2</c:v>
                </c:pt>
                <c:pt idx="53">
                  <c:v>1.6799364229054144E-2</c:v>
                </c:pt>
                <c:pt idx="54">
                  <c:v>1.8730951975315654E-2</c:v>
                </c:pt>
                <c:pt idx="55">
                  <c:v>1.1313833841463415E-2</c:v>
                </c:pt>
                <c:pt idx="56">
                  <c:v>1.3516090316646663E-2</c:v>
                </c:pt>
                <c:pt idx="57">
                  <c:v>1.7906303677733593E-2</c:v>
                </c:pt>
                <c:pt idx="58">
                  <c:v>2.2588630536645744E-2</c:v>
                </c:pt>
                <c:pt idx="59">
                  <c:v>1.1649775363075959E-2</c:v>
                </c:pt>
                <c:pt idx="60">
                  <c:v>2.5271755818952281E-2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0-400E-B8AF-DC134A052161}"/>
            </c:ext>
          </c:extLst>
        </c:ser>
        <c:ser>
          <c:idx val="3"/>
          <c:order val="3"/>
          <c:tx>
            <c:v>Pfizer</c:v>
          </c:tx>
          <c:spPr>
            <a:solidFill>
              <a:schemeClr val="accent2">
                <a:tint val="77000"/>
              </a:schemeClr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MarketShare!$A$2:$A$85</c15:sqref>
                  </c15:fullRef>
                </c:ext>
              </c:extLst>
              <c:f>MarketShare!$A$25:$A$85</c:f>
              <c:numCache>
                <c:formatCode>yyyy\-mm\-dd;@</c:formatCode>
                <c:ptCount val="61"/>
                <c:pt idx="0">
                  <c:v>44417</c:v>
                </c:pt>
                <c:pt idx="1">
                  <c:v>44424</c:v>
                </c:pt>
                <c:pt idx="2">
                  <c:v>44431</c:v>
                </c:pt>
                <c:pt idx="3">
                  <c:v>44438</c:v>
                </c:pt>
                <c:pt idx="4">
                  <c:v>44445</c:v>
                </c:pt>
                <c:pt idx="5">
                  <c:v>44452</c:v>
                </c:pt>
                <c:pt idx="6">
                  <c:v>44459</c:v>
                </c:pt>
                <c:pt idx="7">
                  <c:v>44473</c:v>
                </c:pt>
                <c:pt idx="8">
                  <c:v>44480</c:v>
                </c:pt>
                <c:pt idx="9">
                  <c:v>44487</c:v>
                </c:pt>
                <c:pt idx="10">
                  <c:v>44494</c:v>
                </c:pt>
                <c:pt idx="11">
                  <c:v>44501</c:v>
                </c:pt>
                <c:pt idx="12">
                  <c:v>44508</c:v>
                </c:pt>
                <c:pt idx="13">
                  <c:v>44515</c:v>
                </c:pt>
                <c:pt idx="14">
                  <c:v>44522</c:v>
                </c:pt>
                <c:pt idx="15">
                  <c:v>44529</c:v>
                </c:pt>
                <c:pt idx="16">
                  <c:v>44536</c:v>
                </c:pt>
                <c:pt idx="17">
                  <c:v>44543</c:v>
                </c:pt>
                <c:pt idx="18">
                  <c:v>44550</c:v>
                </c:pt>
                <c:pt idx="19">
                  <c:v>44556</c:v>
                </c:pt>
                <c:pt idx="20">
                  <c:v>44564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44599</c:v>
                </c:pt>
                <c:pt idx="25">
                  <c:v>44606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44654</c:v>
                </c:pt>
                <c:pt idx="33">
                  <c:v>44662</c:v>
                </c:pt>
                <c:pt idx="34">
                  <c:v>44669</c:v>
                </c:pt>
                <c:pt idx="35">
                  <c:v>44676</c:v>
                </c:pt>
                <c:pt idx="36">
                  <c:v>44683</c:v>
                </c:pt>
                <c:pt idx="37">
                  <c:v>44690</c:v>
                </c:pt>
                <c:pt idx="38">
                  <c:v>44697</c:v>
                </c:pt>
                <c:pt idx="39">
                  <c:v>44704</c:v>
                </c:pt>
                <c:pt idx="40">
                  <c:v>44711</c:v>
                </c:pt>
                <c:pt idx="41">
                  <c:v>44718</c:v>
                </c:pt>
                <c:pt idx="42">
                  <c:v>44725</c:v>
                </c:pt>
                <c:pt idx="43">
                  <c:v>44732</c:v>
                </c:pt>
                <c:pt idx="44">
                  <c:v>44739</c:v>
                </c:pt>
                <c:pt idx="45">
                  <c:v>44746</c:v>
                </c:pt>
                <c:pt idx="46">
                  <c:v>44753</c:v>
                </c:pt>
                <c:pt idx="47">
                  <c:v>44760</c:v>
                </c:pt>
                <c:pt idx="48">
                  <c:v>44768</c:v>
                </c:pt>
                <c:pt idx="49">
                  <c:v>44774</c:v>
                </c:pt>
                <c:pt idx="50">
                  <c:v>44781</c:v>
                </c:pt>
                <c:pt idx="51">
                  <c:v>44788</c:v>
                </c:pt>
                <c:pt idx="52">
                  <c:v>44795</c:v>
                </c:pt>
                <c:pt idx="53">
                  <c:v>44801</c:v>
                </c:pt>
                <c:pt idx="54">
                  <c:v>44808</c:v>
                </c:pt>
                <c:pt idx="55">
                  <c:v>44816</c:v>
                </c:pt>
                <c:pt idx="56">
                  <c:v>44823</c:v>
                </c:pt>
                <c:pt idx="57">
                  <c:v>44830</c:v>
                </c:pt>
                <c:pt idx="58">
                  <c:v>44841</c:v>
                </c:pt>
                <c:pt idx="59">
                  <c:v>44855</c:v>
                </c:pt>
                <c:pt idx="60">
                  <c:v>44862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MarketShare!$Y$2:$Y$85</c15:sqref>
                  </c15:fullRef>
                </c:ext>
              </c:extLst>
              <c:f>MarketShare!$Y$25:$Y$85</c:f>
              <c:numCache>
                <c:formatCode>0%</c:formatCode>
                <c:ptCount val="61"/>
                <c:pt idx="0">
                  <c:v>0.30964995410824486</c:v>
                </c:pt>
                <c:pt idx="1">
                  <c:v>0.94653359319783259</c:v>
                </c:pt>
                <c:pt idx="2">
                  <c:v>0.86708581070223367</c:v>
                </c:pt>
                <c:pt idx="3">
                  <c:v>0.86812696747114371</c:v>
                </c:pt>
                <c:pt idx="4">
                  <c:v>0.78024706685703649</c:v>
                </c:pt>
                <c:pt idx="5">
                  <c:v>0.5888137122237258</c:v>
                </c:pt>
                <c:pt idx="6">
                  <c:v>0.63592413536630721</c:v>
                </c:pt>
                <c:pt idx="7">
                  <c:v>9.3473974895772027E-2</c:v>
                </c:pt>
                <c:pt idx="8">
                  <c:v>2.1620828296326621E-2</c:v>
                </c:pt>
                <c:pt idx="9">
                  <c:v>2.0114593996671825E-2</c:v>
                </c:pt>
                <c:pt idx="10">
                  <c:v>8.5504902559095167E-2</c:v>
                </c:pt>
                <c:pt idx="11">
                  <c:v>8.4693267008458764E-2</c:v>
                </c:pt>
                <c:pt idx="12">
                  <c:v>0.17783417273626723</c:v>
                </c:pt>
                <c:pt idx="13">
                  <c:v>0.26668867780769034</c:v>
                </c:pt>
                <c:pt idx="14">
                  <c:v>0.20013364284645341</c:v>
                </c:pt>
                <c:pt idx="15">
                  <c:v>0.26917961047808892</c:v>
                </c:pt>
                <c:pt idx="16">
                  <c:v>0.47827361162418419</c:v>
                </c:pt>
                <c:pt idx="17">
                  <c:v>0.52032170141421719</c:v>
                </c:pt>
                <c:pt idx="18">
                  <c:v>0.53354304689100029</c:v>
                </c:pt>
                <c:pt idx="19">
                  <c:v>0.61473528936836919</c:v>
                </c:pt>
                <c:pt idx="20">
                  <c:v>0.72392271690043619</c:v>
                </c:pt>
                <c:pt idx="21">
                  <c:v>0.74677758051448917</c:v>
                </c:pt>
                <c:pt idx="22">
                  <c:v>0.67556159703273366</c:v>
                </c:pt>
                <c:pt idx="23">
                  <c:v>0.67099936063341081</c:v>
                </c:pt>
                <c:pt idx="24">
                  <c:v>0.75423927713991634</c:v>
                </c:pt>
                <c:pt idx="25">
                  <c:v>0.61149689568883803</c:v>
                </c:pt>
                <c:pt idx="26">
                  <c:v>0.70118910522270328</c:v>
                </c:pt>
                <c:pt idx="27">
                  <c:v>0.69603039639459063</c:v>
                </c:pt>
                <c:pt idx="28">
                  <c:v>0.67503607385859044</c:v>
                </c:pt>
                <c:pt idx="29">
                  <c:v>0.65160735256253255</c:v>
                </c:pt>
                <c:pt idx="30">
                  <c:v>0.67121823050248008</c:v>
                </c:pt>
                <c:pt idx="31">
                  <c:v>0.66870229378939161</c:v>
                </c:pt>
                <c:pt idx="32">
                  <c:v>0.72008304206889906</c:v>
                </c:pt>
                <c:pt idx="33">
                  <c:v>0.75600919522228782</c:v>
                </c:pt>
                <c:pt idx="34">
                  <c:v>0.7867453472537449</c:v>
                </c:pt>
                <c:pt idx="35">
                  <c:v>0.71894674583040519</c:v>
                </c:pt>
                <c:pt idx="36">
                  <c:v>0.79826449112438702</c:v>
                </c:pt>
                <c:pt idx="37">
                  <c:v>0.78381757096136884</c:v>
                </c:pt>
                <c:pt idx="38">
                  <c:v>0.80552878057652089</c:v>
                </c:pt>
                <c:pt idx="39">
                  <c:v>0.79475891150875755</c:v>
                </c:pt>
                <c:pt idx="40">
                  <c:v>0.79913022851269078</c:v>
                </c:pt>
                <c:pt idx="41">
                  <c:v>0.77309890317924201</c:v>
                </c:pt>
                <c:pt idx="42">
                  <c:v>0.73095456951059856</c:v>
                </c:pt>
                <c:pt idx="43">
                  <c:v>0.71100289909099679</c:v>
                </c:pt>
                <c:pt idx="44">
                  <c:v>0.65990418887324231</c:v>
                </c:pt>
                <c:pt idx="45">
                  <c:v>0.6289389877352457</c:v>
                </c:pt>
                <c:pt idx="46">
                  <c:v>0.63682476428608636</c:v>
                </c:pt>
                <c:pt idx="47">
                  <c:v>0.57030166247026648</c:v>
                </c:pt>
                <c:pt idx="48">
                  <c:v>0.72556268989862238</c:v>
                </c:pt>
                <c:pt idx="49">
                  <c:v>0.64918041563679518</c:v>
                </c:pt>
                <c:pt idx="50">
                  <c:v>0.70307274111123197</c:v>
                </c:pt>
                <c:pt idx="51">
                  <c:v>0.64471838310992102</c:v>
                </c:pt>
                <c:pt idx="52">
                  <c:v>0.76275549663020659</c:v>
                </c:pt>
                <c:pt idx="53">
                  <c:v>0.85469984841572355</c:v>
                </c:pt>
                <c:pt idx="54">
                  <c:v>0.85404244041872523</c:v>
                </c:pt>
                <c:pt idx="55">
                  <c:v>0.85750127032520329</c:v>
                </c:pt>
                <c:pt idx="56">
                  <c:v>0.74375511760681079</c:v>
                </c:pt>
                <c:pt idx="57">
                  <c:v>0.78285371420504013</c:v>
                </c:pt>
                <c:pt idx="58">
                  <c:v>0.73972239412960838</c:v>
                </c:pt>
                <c:pt idx="59">
                  <c:v>0.74802789677149728</c:v>
                </c:pt>
                <c:pt idx="60">
                  <c:v>0.77915617515199898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0-400E-B8AF-DC134A052161}"/>
            </c:ext>
          </c:extLst>
        </c:ser>
        <c:ser>
          <c:idx val="4"/>
          <c:order val="4"/>
          <c:tx>
            <c:v>Moderna</c:v>
          </c:tx>
          <c:spPr>
            <a:solidFill>
              <a:schemeClr val="accent2">
                <a:tint val="54000"/>
              </a:schemeClr>
            </a:solidFill>
            <a:ln w="25400"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MarketShare!$A$2:$A$85</c15:sqref>
                  </c15:fullRef>
                </c:ext>
              </c:extLst>
              <c:f>MarketShare!$A$25:$A$85</c:f>
              <c:numCache>
                <c:formatCode>yyyy\-mm\-dd;@</c:formatCode>
                <c:ptCount val="61"/>
                <c:pt idx="0">
                  <c:v>44417</c:v>
                </c:pt>
                <c:pt idx="1">
                  <c:v>44424</c:v>
                </c:pt>
                <c:pt idx="2">
                  <c:v>44431</c:v>
                </c:pt>
                <c:pt idx="3">
                  <c:v>44438</c:v>
                </c:pt>
                <c:pt idx="4">
                  <c:v>44445</c:v>
                </c:pt>
                <c:pt idx="5">
                  <c:v>44452</c:v>
                </c:pt>
                <c:pt idx="6">
                  <c:v>44459</c:v>
                </c:pt>
                <c:pt idx="7">
                  <c:v>44473</c:v>
                </c:pt>
                <c:pt idx="8">
                  <c:v>44480</c:v>
                </c:pt>
                <c:pt idx="9">
                  <c:v>44487</c:v>
                </c:pt>
                <c:pt idx="10">
                  <c:v>44494</c:v>
                </c:pt>
                <c:pt idx="11">
                  <c:v>44501</c:v>
                </c:pt>
                <c:pt idx="12">
                  <c:v>44508</c:v>
                </c:pt>
                <c:pt idx="13">
                  <c:v>44515</c:v>
                </c:pt>
                <c:pt idx="14">
                  <c:v>44522</c:v>
                </c:pt>
                <c:pt idx="15">
                  <c:v>44529</c:v>
                </c:pt>
                <c:pt idx="16">
                  <c:v>44536</c:v>
                </c:pt>
                <c:pt idx="17">
                  <c:v>44543</c:v>
                </c:pt>
                <c:pt idx="18">
                  <c:v>44550</c:v>
                </c:pt>
                <c:pt idx="19">
                  <c:v>44556</c:v>
                </c:pt>
                <c:pt idx="20">
                  <c:v>44564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44599</c:v>
                </c:pt>
                <c:pt idx="25">
                  <c:v>44606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44654</c:v>
                </c:pt>
                <c:pt idx="33">
                  <c:v>44662</c:v>
                </c:pt>
                <c:pt idx="34">
                  <c:v>44669</c:v>
                </c:pt>
                <c:pt idx="35">
                  <c:v>44676</c:v>
                </c:pt>
                <c:pt idx="36">
                  <c:v>44683</c:v>
                </c:pt>
                <c:pt idx="37">
                  <c:v>44690</c:v>
                </c:pt>
                <c:pt idx="38">
                  <c:v>44697</c:v>
                </c:pt>
                <c:pt idx="39">
                  <c:v>44704</c:v>
                </c:pt>
                <c:pt idx="40">
                  <c:v>44711</c:v>
                </c:pt>
                <c:pt idx="41">
                  <c:v>44718</c:v>
                </c:pt>
                <c:pt idx="42">
                  <c:v>44725</c:v>
                </c:pt>
                <c:pt idx="43">
                  <c:v>44732</c:v>
                </c:pt>
                <c:pt idx="44">
                  <c:v>44739</c:v>
                </c:pt>
                <c:pt idx="45">
                  <c:v>44746</c:v>
                </c:pt>
                <c:pt idx="46">
                  <c:v>44753</c:v>
                </c:pt>
                <c:pt idx="47">
                  <c:v>44760</c:v>
                </c:pt>
                <c:pt idx="48">
                  <c:v>44768</c:v>
                </c:pt>
                <c:pt idx="49">
                  <c:v>44774</c:v>
                </c:pt>
                <c:pt idx="50">
                  <c:v>44781</c:v>
                </c:pt>
                <c:pt idx="51">
                  <c:v>44788</c:v>
                </c:pt>
                <c:pt idx="52">
                  <c:v>44795</c:v>
                </c:pt>
                <c:pt idx="53">
                  <c:v>44801</c:v>
                </c:pt>
                <c:pt idx="54">
                  <c:v>44808</c:v>
                </c:pt>
                <c:pt idx="55">
                  <c:v>44816</c:v>
                </c:pt>
                <c:pt idx="56">
                  <c:v>44823</c:v>
                </c:pt>
                <c:pt idx="57">
                  <c:v>44830</c:v>
                </c:pt>
                <c:pt idx="58">
                  <c:v>44841</c:v>
                </c:pt>
                <c:pt idx="59">
                  <c:v>44855</c:v>
                </c:pt>
                <c:pt idx="60">
                  <c:v>44862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MarketShare!$Z$2:$Z$85</c15:sqref>
                  </c15:fullRef>
                </c:ext>
              </c:extLst>
              <c:f>MarketShare!$Z$25:$Z$85</c:f>
              <c:numCache>
                <c:formatCode>0%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0.36703754876745798</c:v>
                </c:pt>
                <c:pt idx="15">
                  <c:v>0.21588078596481108</c:v>
                </c:pt>
                <c:pt idx="16">
                  <c:v>0.28703115379879324</c:v>
                </c:pt>
                <c:pt idx="17">
                  <c:v>0.3796711198182614</c:v>
                </c:pt>
                <c:pt idx="18">
                  <c:v>0.37077418360138165</c:v>
                </c:pt>
                <c:pt idx="19">
                  <c:v>0.27706568559420786</c:v>
                </c:pt>
                <c:pt idx="20">
                  <c:v>0.15041683679787921</c:v>
                </c:pt>
                <c:pt idx="21">
                  <c:v>0.11645893696201264</c:v>
                </c:pt>
                <c:pt idx="22">
                  <c:v>0.144691743017338</c:v>
                </c:pt>
                <c:pt idx="23">
                  <c:v>0.12638492934123347</c:v>
                </c:pt>
                <c:pt idx="24">
                  <c:v>0.10632260185172596</c:v>
                </c:pt>
                <c:pt idx="25">
                  <c:v>0.23417979220499768</c:v>
                </c:pt>
                <c:pt idx="26">
                  <c:v>0.16543138955029829</c:v>
                </c:pt>
                <c:pt idx="27">
                  <c:v>0.12884683152664131</c:v>
                </c:pt>
                <c:pt idx="28">
                  <c:v>0.18393791896335768</c:v>
                </c:pt>
                <c:pt idx="29">
                  <c:v>0.18765739118420971</c:v>
                </c:pt>
                <c:pt idx="30">
                  <c:v>0.16377320984015703</c:v>
                </c:pt>
                <c:pt idx="31">
                  <c:v>0.1439896102759041</c:v>
                </c:pt>
                <c:pt idx="32">
                  <c:v>0.11835650766756793</c:v>
                </c:pt>
                <c:pt idx="33">
                  <c:v>0.15139116889509113</c:v>
                </c:pt>
                <c:pt idx="34">
                  <c:v>0.12221351050220773</c:v>
                </c:pt>
                <c:pt idx="35">
                  <c:v>0.2079820459608564</c:v>
                </c:pt>
                <c:pt idx="36">
                  <c:v>0.14549875805657267</c:v>
                </c:pt>
                <c:pt idx="37">
                  <c:v>0.16264133674141376</c:v>
                </c:pt>
                <c:pt idx="38">
                  <c:v>0.15629110969658391</c:v>
                </c:pt>
                <c:pt idx="39">
                  <c:v>0.16533671841685488</c:v>
                </c:pt>
                <c:pt idx="40">
                  <c:v>0.16682217126591287</c:v>
                </c:pt>
                <c:pt idx="41">
                  <c:v>0.19268608682276939</c:v>
                </c:pt>
                <c:pt idx="42">
                  <c:v>0.23981071403148782</c:v>
                </c:pt>
                <c:pt idx="43">
                  <c:v>0.26128432061083945</c:v>
                </c:pt>
                <c:pt idx="44">
                  <c:v>0.31001502523295849</c:v>
                </c:pt>
                <c:pt idx="45">
                  <c:v>0.34544122959050105</c:v>
                </c:pt>
                <c:pt idx="46">
                  <c:v>0.34318513309371257</c:v>
                </c:pt>
                <c:pt idx="47">
                  <c:v>0.41035141046882273</c:v>
                </c:pt>
                <c:pt idx="48">
                  <c:v>0.25277043038771274</c:v>
                </c:pt>
                <c:pt idx="49">
                  <c:v>0.32798097600585352</c:v>
                </c:pt>
                <c:pt idx="50">
                  <c:v>0.2752941176470588</c:v>
                </c:pt>
                <c:pt idx="51">
                  <c:v>0.34063935221981001</c:v>
                </c:pt>
                <c:pt idx="52">
                  <c:v>0.22167716274444813</c:v>
                </c:pt>
                <c:pt idx="53">
                  <c:v>0.1285007873552223</c:v>
                </c:pt>
                <c:pt idx="54">
                  <c:v>0.12722660760595908</c:v>
                </c:pt>
                <c:pt idx="55">
                  <c:v>0.13118489583333334</c:v>
                </c:pt>
                <c:pt idx="56">
                  <c:v>0.24272879207654258</c:v>
                </c:pt>
                <c:pt idx="57">
                  <c:v>0.19923998211722629</c:v>
                </c:pt>
                <c:pt idx="58">
                  <c:v>0.23768897533374592</c:v>
                </c:pt>
                <c:pt idx="59">
                  <c:v>0.24032232786542682</c:v>
                </c:pt>
                <c:pt idx="60">
                  <c:v>0.1955720690290487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F0-400E-B8AF-DC134A052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12240"/>
        <c:axId val="88996848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v>Sinovac</c:v>
                </c:tx>
                <c:spPr>
                  <a:solidFill>
                    <a:schemeClr val="accent2">
                      <a:shade val="53000"/>
                    </a:schemeClr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ullRef>
                          <c15:sqref>MarketShare!$A$2:$A$85</c15:sqref>
                        </c15:fullRef>
                        <c15:formulaRef>
                          <c15:sqref>MarketShare!$A$25:$A$85</c15:sqref>
                        </c15:formulaRef>
                      </c:ext>
                    </c:extLst>
                    <c:numCache>
                      <c:formatCode>yyyy\-mm\-dd;@</c:formatCode>
                      <c:ptCount val="61"/>
                      <c:pt idx="0">
                        <c:v>44417</c:v>
                      </c:pt>
                      <c:pt idx="1">
                        <c:v>44424</c:v>
                      </c:pt>
                      <c:pt idx="2">
                        <c:v>44431</c:v>
                      </c:pt>
                      <c:pt idx="3">
                        <c:v>44438</c:v>
                      </c:pt>
                      <c:pt idx="4">
                        <c:v>44445</c:v>
                      </c:pt>
                      <c:pt idx="5">
                        <c:v>44452</c:v>
                      </c:pt>
                      <c:pt idx="6">
                        <c:v>44459</c:v>
                      </c:pt>
                      <c:pt idx="7">
                        <c:v>44473</c:v>
                      </c:pt>
                      <c:pt idx="8">
                        <c:v>44480</c:v>
                      </c:pt>
                      <c:pt idx="9">
                        <c:v>44487</c:v>
                      </c:pt>
                      <c:pt idx="10">
                        <c:v>44494</c:v>
                      </c:pt>
                      <c:pt idx="11">
                        <c:v>44501</c:v>
                      </c:pt>
                      <c:pt idx="12">
                        <c:v>44508</c:v>
                      </c:pt>
                      <c:pt idx="13">
                        <c:v>44515</c:v>
                      </c:pt>
                      <c:pt idx="14">
                        <c:v>44522</c:v>
                      </c:pt>
                      <c:pt idx="15">
                        <c:v>44529</c:v>
                      </c:pt>
                      <c:pt idx="16">
                        <c:v>44536</c:v>
                      </c:pt>
                      <c:pt idx="17">
                        <c:v>44543</c:v>
                      </c:pt>
                      <c:pt idx="18">
                        <c:v>44550</c:v>
                      </c:pt>
                      <c:pt idx="19">
                        <c:v>44556</c:v>
                      </c:pt>
                      <c:pt idx="20">
                        <c:v>44564</c:v>
                      </c:pt>
                      <c:pt idx="21">
                        <c:v>44578</c:v>
                      </c:pt>
                      <c:pt idx="22">
                        <c:v>44585</c:v>
                      </c:pt>
                      <c:pt idx="23">
                        <c:v>44592</c:v>
                      </c:pt>
                      <c:pt idx="24">
                        <c:v>44599</c:v>
                      </c:pt>
                      <c:pt idx="25">
                        <c:v>44606</c:v>
                      </c:pt>
                      <c:pt idx="26">
                        <c:v>44613</c:v>
                      </c:pt>
                      <c:pt idx="27">
                        <c:v>44620</c:v>
                      </c:pt>
                      <c:pt idx="28">
                        <c:v>44627</c:v>
                      </c:pt>
                      <c:pt idx="29">
                        <c:v>44634</c:v>
                      </c:pt>
                      <c:pt idx="30">
                        <c:v>44641</c:v>
                      </c:pt>
                      <c:pt idx="31">
                        <c:v>44648</c:v>
                      </c:pt>
                      <c:pt idx="32">
                        <c:v>44654</c:v>
                      </c:pt>
                      <c:pt idx="33">
                        <c:v>44662</c:v>
                      </c:pt>
                      <c:pt idx="34">
                        <c:v>44669</c:v>
                      </c:pt>
                      <c:pt idx="35">
                        <c:v>44676</c:v>
                      </c:pt>
                      <c:pt idx="36">
                        <c:v>44683</c:v>
                      </c:pt>
                      <c:pt idx="37">
                        <c:v>44690</c:v>
                      </c:pt>
                      <c:pt idx="38">
                        <c:v>44697</c:v>
                      </c:pt>
                      <c:pt idx="39">
                        <c:v>44704</c:v>
                      </c:pt>
                      <c:pt idx="40">
                        <c:v>44711</c:v>
                      </c:pt>
                      <c:pt idx="41">
                        <c:v>44718</c:v>
                      </c:pt>
                      <c:pt idx="42">
                        <c:v>44725</c:v>
                      </c:pt>
                      <c:pt idx="43">
                        <c:v>44732</c:v>
                      </c:pt>
                      <c:pt idx="44">
                        <c:v>44739</c:v>
                      </c:pt>
                      <c:pt idx="45">
                        <c:v>44746</c:v>
                      </c:pt>
                      <c:pt idx="46">
                        <c:v>44753</c:v>
                      </c:pt>
                      <c:pt idx="47">
                        <c:v>44760</c:v>
                      </c:pt>
                      <c:pt idx="48">
                        <c:v>44768</c:v>
                      </c:pt>
                      <c:pt idx="49">
                        <c:v>44774</c:v>
                      </c:pt>
                      <c:pt idx="50">
                        <c:v>44781</c:v>
                      </c:pt>
                      <c:pt idx="51">
                        <c:v>44788</c:v>
                      </c:pt>
                      <c:pt idx="52">
                        <c:v>44795</c:v>
                      </c:pt>
                      <c:pt idx="53">
                        <c:v>44801</c:v>
                      </c:pt>
                      <c:pt idx="54">
                        <c:v>44808</c:v>
                      </c:pt>
                      <c:pt idx="55">
                        <c:v>44816</c:v>
                      </c:pt>
                      <c:pt idx="56">
                        <c:v>44823</c:v>
                      </c:pt>
                      <c:pt idx="57">
                        <c:v>44830</c:v>
                      </c:pt>
                      <c:pt idx="58">
                        <c:v>44841</c:v>
                      </c:pt>
                      <c:pt idx="59">
                        <c:v>44855</c:v>
                      </c:pt>
                      <c:pt idx="60">
                        <c:v>44862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MarketShare!$V$2:$V$85</c15:sqref>
                        </c15:fullRef>
                        <c15:formulaRef>
                          <c15:sqref>MarketShare!$V$25:$V$85</c15:sqref>
                        </c15:formulaRef>
                      </c:ext>
                    </c:extLst>
                    <c:numCache>
                      <c:formatCode>0%</c:formatCode>
                      <c:ptCount val="6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5.4572552721676749E-3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BF0-400E-B8AF-DC134A052161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v>Sinopharm</c:v>
                </c:tx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MarketShare!$A$2:$A$85</c15:sqref>
                        </c15:fullRef>
                        <c15:formulaRef>
                          <c15:sqref>MarketShare!$A$25:$A$85</c15:sqref>
                        </c15:formulaRef>
                      </c:ext>
                    </c:extLst>
                    <c:numCache>
                      <c:formatCode>yyyy\-mm\-dd;@</c:formatCode>
                      <c:ptCount val="61"/>
                      <c:pt idx="0">
                        <c:v>44417</c:v>
                      </c:pt>
                      <c:pt idx="1">
                        <c:v>44424</c:v>
                      </c:pt>
                      <c:pt idx="2">
                        <c:v>44431</c:v>
                      </c:pt>
                      <c:pt idx="3">
                        <c:v>44438</c:v>
                      </c:pt>
                      <c:pt idx="4">
                        <c:v>44445</c:v>
                      </c:pt>
                      <c:pt idx="5">
                        <c:v>44452</c:v>
                      </c:pt>
                      <c:pt idx="6">
                        <c:v>44459</c:v>
                      </c:pt>
                      <c:pt idx="7">
                        <c:v>44473</c:v>
                      </c:pt>
                      <c:pt idx="8">
                        <c:v>44480</c:v>
                      </c:pt>
                      <c:pt idx="9">
                        <c:v>44487</c:v>
                      </c:pt>
                      <c:pt idx="10">
                        <c:v>44494</c:v>
                      </c:pt>
                      <c:pt idx="11">
                        <c:v>44501</c:v>
                      </c:pt>
                      <c:pt idx="12">
                        <c:v>44508</c:v>
                      </c:pt>
                      <c:pt idx="13">
                        <c:v>44515</c:v>
                      </c:pt>
                      <c:pt idx="14">
                        <c:v>44522</c:v>
                      </c:pt>
                      <c:pt idx="15">
                        <c:v>44529</c:v>
                      </c:pt>
                      <c:pt idx="16">
                        <c:v>44536</c:v>
                      </c:pt>
                      <c:pt idx="17">
                        <c:v>44543</c:v>
                      </c:pt>
                      <c:pt idx="18">
                        <c:v>44550</c:v>
                      </c:pt>
                      <c:pt idx="19">
                        <c:v>44556</c:v>
                      </c:pt>
                      <c:pt idx="20">
                        <c:v>44564</c:v>
                      </c:pt>
                      <c:pt idx="21">
                        <c:v>44578</c:v>
                      </c:pt>
                      <c:pt idx="22">
                        <c:v>44585</c:v>
                      </c:pt>
                      <c:pt idx="23">
                        <c:v>44592</c:v>
                      </c:pt>
                      <c:pt idx="24">
                        <c:v>44599</c:v>
                      </c:pt>
                      <c:pt idx="25">
                        <c:v>44606</c:v>
                      </c:pt>
                      <c:pt idx="26">
                        <c:v>44613</c:v>
                      </c:pt>
                      <c:pt idx="27">
                        <c:v>44620</c:v>
                      </c:pt>
                      <c:pt idx="28">
                        <c:v>44627</c:v>
                      </c:pt>
                      <c:pt idx="29">
                        <c:v>44634</c:v>
                      </c:pt>
                      <c:pt idx="30">
                        <c:v>44641</c:v>
                      </c:pt>
                      <c:pt idx="31">
                        <c:v>44648</c:v>
                      </c:pt>
                      <c:pt idx="32">
                        <c:v>44654</c:v>
                      </c:pt>
                      <c:pt idx="33">
                        <c:v>44662</c:v>
                      </c:pt>
                      <c:pt idx="34">
                        <c:v>44669</c:v>
                      </c:pt>
                      <c:pt idx="35">
                        <c:v>44676</c:v>
                      </c:pt>
                      <c:pt idx="36">
                        <c:v>44683</c:v>
                      </c:pt>
                      <c:pt idx="37">
                        <c:v>44690</c:v>
                      </c:pt>
                      <c:pt idx="38">
                        <c:v>44697</c:v>
                      </c:pt>
                      <c:pt idx="39">
                        <c:v>44704</c:v>
                      </c:pt>
                      <c:pt idx="40">
                        <c:v>44711</c:v>
                      </c:pt>
                      <c:pt idx="41">
                        <c:v>44718</c:v>
                      </c:pt>
                      <c:pt idx="42">
                        <c:v>44725</c:v>
                      </c:pt>
                      <c:pt idx="43">
                        <c:v>44732</c:v>
                      </c:pt>
                      <c:pt idx="44">
                        <c:v>44739</c:v>
                      </c:pt>
                      <c:pt idx="45">
                        <c:v>44746</c:v>
                      </c:pt>
                      <c:pt idx="46">
                        <c:v>44753</c:v>
                      </c:pt>
                      <c:pt idx="47">
                        <c:v>44760</c:v>
                      </c:pt>
                      <c:pt idx="48">
                        <c:v>44768</c:v>
                      </c:pt>
                      <c:pt idx="49">
                        <c:v>44774</c:v>
                      </c:pt>
                      <c:pt idx="50">
                        <c:v>44781</c:v>
                      </c:pt>
                      <c:pt idx="51">
                        <c:v>44788</c:v>
                      </c:pt>
                      <c:pt idx="52">
                        <c:v>44795</c:v>
                      </c:pt>
                      <c:pt idx="53">
                        <c:v>44801</c:v>
                      </c:pt>
                      <c:pt idx="54">
                        <c:v>44808</c:v>
                      </c:pt>
                      <c:pt idx="55">
                        <c:v>44816</c:v>
                      </c:pt>
                      <c:pt idx="56">
                        <c:v>44823</c:v>
                      </c:pt>
                      <c:pt idx="57">
                        <c:v>44830</c:v>
                      </c:pt>
                      <c:pt idx="58">
                        <c:v>44841</c:v>
                      </c:pt>
                      <c:pt idx="59">
                        <c:v>44855</c:v>
                      </c:pt>
                      <c:pt idx="60">
                        <c:v>44862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MarketShare!$X$2:$X$85</c15:sqref>
                        </c15:fullRef>
                        <c15:formulaRef>
                          <c15:sqref>MarketShare!$X$25:$X$85</c15:sqref>
                        </c15:formulaRef>
                      </c:ext>
                    </c:extLst>
                    <c:numCache>
                      <c:formatCode>0%</c:formatCode>
                      <c:ptCount val="6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3.802458997843608E-2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F0-400E-B8AF-DC134A052161}"/>
                  </c:ext>
                </c:extLst>
              </c15:ser>
            </c15:filteredAreaSeries>
          </c:ext>
        </c:extLst>
      </c:areaChart>
      <c:dateAx>
        <c:axId val="89012240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6848"/>
        <c:crosses val="autoZero"/>
        <c:auto val="1"/>
        <c:lblOffset val="100"/>
        <c:baseTimeUnit val="days"/>
      </c:dateAx>
      <c:valAx>
        <c:axId val="889968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28039281863345"/>
          <c:y val="0.8704153299944617"/>
          <c:w val="0.70986702207071639"/>
          <c:h val="5.8240410657424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7640E0-C37A-4957-A133-8B7DC2F28FD1}">
  <sheetPr/>
  <sheetViews>
    <sheetView zoomScale="17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3B94D3-FB94-4F75-9286-0EAF1538DAC5}">
  <sheetPr/>
  <sheetViews>
    <sheetView zoomScale="1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01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D3B3C3-A28E-8F87-F902-18BFDCF45D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01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55620F-D2D5-FB47-36F9-21406D07C9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65AF-57E2-4A15-A407-0D73348CC37D}">
  <dimension ref="A1:Z129"/>
  <sheetViews>
    <sheetView zoomScale="90" zoomScaleNormal="90" workbookViewId="0">
      <selection activeCell="D6" sqref="D6"/>
    </sheetView>
  </sheetViews>
  <sheetFormatPr baseColWidth="10" defaultColWidth="8.6640625" defaultRowHeight="19" x14ac:dyDescent="0.25"/>
  <cols>
    <col min="1" max="1" width="15.33203125" style="4" customWidth="1"/>
    <col min="2" max="2" width="10.6640625" style="4" bestFit="1" customWidth="1"/>
    <col min="3" max="3" width="18.33203125" style="4" bestFit="1" customWidth="1"/>
    <col min="4" max="4" width="17.1640625" style="4" bestFit="1" customWidth="1"/>
    <col min="5" max="5" width="21.1640625" style="4" bestFit="1" customWidth="1"/>
    <col min="6" max="6" width="16.5" style="4" bestFit="1" customWidth="1"/>
    <col min="7" max="7" width="22.5" style="4" bestFit="1" customWidth="1"/>
    <col min="8" max="9" width="22.6640625" style="4" bestFit="1" customWidth="1"/>
    <col min="10" max="10" width="22.5" style="4" bestFit="1" customWidth="1"/>
    <col min="11" max="11" width="30.1640625" style="4" bestFit="1" customWidth="1"/>
    <col min="12" max="12" width="20.5" style="4" bestFit="1" customWidth="1"/>
    <col min="13" max="13" width="32.5" style="4" bestFit="1" customWidth="1"/>
    <col min="14" max="14" width="20.6640625" style="4" bestFit="1" customWidth="1"/>
    <col min="15" max="15" width="20.5" style="4" bestFit="1" customWidth="1"/>
    <col min="16" max="16" width="28.33203125" style="4" bestFit="1" customWidth="1"/>
    <col min="17" max="21" width="22.33203125" style="4" bestFit="1" customWidth="1"/>
    <col min="22" max="23" width="20" style="4" bestFit="1" customWidth="1"/>
    <col min="24" max="24" width="20.1640625" style="4" bestFit="1" customWidth="1"/>
    <col min="25" max="25" width="20" style="4" bestFit="1" customWidth="1"/>
    <col min="26" max="26" width="41.83203125" style="4" bestFit="1" customWidth="1"/>
    <col min="27" max="27" width="12.83203125" style="4" bestFit="1" customWidth="1"/>
    <col min="28" max="28" width="9.33203125" style="4" bestFit="1" customWidth="1"/>
    <col min="29" max="16384" width="8.6640625" style="4"/>
  </cols>
  <sheetData>
    <row r="1" spans="1:26" s="31" customFormat="1" x14ac:dyDescent="0.25">
      <c r="A1" s="27" t="s">
        <v>0</v>
      </c>
      <c r="B1" s="27" t="s">
        <v>37</v>
      </c>
      <c r="C1" s="27" t="s">
        <v>38</v>
      </c>
      <c r="D1" s="27" t="s">
        <v>39</v>
      </c>
      <c r="E1" s="27" t="s">
        <v>40</v>
      </c>
      <c r="F1" s="28" t="s">
        <v>41</v>
      </c>
      <c r="G1" s="37" t="s">
        <v>64</v>
      </c>
      <c r="H1" s="37" t="s">
        <v>65</v>
      </c>
      <c r="I1" s="37" t="s">
        <v>66</v>
      </c>
      <c r="J1" s="37" t="s">
        <v>67</v>
      </c>
      <c r="K1" s="37" t="s">
        <v>68</v>
      </c>
      <c r="L1" s="27" t="s">
        <v>59</v>
      </c>
      <c r="M1" s="27" t="s">
        <v>60</v>
      </c>
      <c r="N1" s="27" t="s">
        <v>61</v>
      </c>
      <c r="O1" s="27" t="s">
        <v>62</v>
      </c>
      <c r="P1" s="27" t="s">
        <v>63</v>
      </c>
      <c r="Q1" s="35" t="s">
        <v>49</v>
      </c>
      <c r="R1" s="35" t="s">
        <v>50</v>
      </c>
      <c r="S1" s="35" t="s">
        <v>51</v>
      </c>
      <c r="T1" s="35" t="s">
        <v>52</v>
      </c>
      <c r="U1" s="35" t="s">
        <v>53</v>
      </c>
      <c r="V1" s="33" t="s">
        <v>54</v>
      </c>
      <c r="W1" s="33" t="s">
        <v>55</v>
      </c>
      <c r="X1" s="33" t="s">
        <v>56</v>
      </c>
      <c r="Y1" s="33" t="s">
        <v>57</v>
      </c>
      <c r="Z1" s="33" t="s">
        <v>58</v>
      </c>
    </row>
    <row r="2" spans="1:26" x14ac:dyDescent="0.25">
      <c r="A2" s="32">
        <v>44255</v>
      </c>
      <c r="B2" s="25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36"/>
      <c r="R2" s="36"/>
      <c r="S2" s="36"/>
      <c r="T2" s="36"/>
      <c r="U2" s="36"/>
      <c r="V2" s="34"/>
      <c r="W2" s="34"/>
      <c r="X2" s="34"/>
      <c r="Y2" s="34"/>
      <c r="Z2" s="34"/>
    </row>
    <row r="3" spans="1:26" x14ac:dyDescent="0.25">
      <c r="A3" s="25">
        <v>44263</v>
      </c>
      <c r="B3" s="22">
        <f>A3-A2</f>
        <v>8</v>
      </c>
      <c r="C3" s="22">
        <f>DataExtract!B3-DataExtract!B2</f>
        <v>29900</v>
      </c>
      <c r="D3" s="22">
        <f>DataExtract!C3-DataExtract!C2</f>
        <v>29900</v>
      </c>
      <c r="E3" s="22">
        <f>DataExtract!D3-DataExtract!D2</f>
        <v>0</v>
      </c>
      <c r="F3" s="22">
        <f>DataExtract!E3-DataExtract!E2</f>
        <v>0</v>
      </c>
      <c r="G3" s="22">
        <f>(DataExtract!K3+DataExtract!P3)-(DataExtract!K2+DataExtract!P2)</f>
        <v>0</v>
      </c>
      <c r="H3" s="22">
        <f>(DataExtract!L3+DataExtract!Q3)-(DataExtract!L2+DataExtract!Q2)</f>
        <v>0</v>
      </c>
      <c r="I3" s="22">
        <f>(DataExtract!M3+DataExtract!R3)-(DataExtract!M2+DataExtract!R2)</f>
        <v>0</v>
      </c>
      <c r="J3" s="22">
        <f>(DataExtract!N3+DataExtract!S3)-(DataExtract!N2+DataExtract!S2)</f>
        <v>0</v>
      </c>
      <c r="K3" s="22">
        <f>(DataExtract!O3+DataExtract!T3)-(DataExtract!O2+DataExtract!T2)</f>
        <v>0</v>
      </c>
      <c r="L3" s="22">
        <f>DataExtract!U3-DataExtract!U2</f>
        <v>0</v>
      </c>
      <c r="M3" s="22">
        <f>DataExtract!V3-DataExtract!V2</f>
        <v>0</v>
      </c>
      <c r="N3" s="22">
        <f>DataExtract!W3-DataExtract!W2</f>
        <v>0</v>
      </c>
      <c r="O3" s="22">
        <f>DataExtract!X3-DataExtract!X2</f>
        <v>0</v>
      </c>
      <c r="P3" s="22">
        <f>DataExtract!Y3-DataExtract!Y2</f>
        <v>0</v>
      </c>
      <c r="Q3" s="36">
        <v>1</v>
      </c>
      <c r="R3" s="36">
        <v>0</v>
      </c>
      <c r="S3" s="36">
        <v>0</v>
      </c>
      <c r="T3" s="36">
        <v>0</v>
      </c>
      <c r="U3" s="36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</row>
    <row r="4" spans="1:26" x14ac:dyDescent="0.25">
      <c r="A4" s="25">
        <v>44270</v>
      </c>
      <c r="B4" s="22">
        <f t="shared" ref="B4:B67" si="0">A4-A3</f>
        <v>7</v>
      </c>
      <c r="C4" s="22">
        <f>DataExtract!B4-DataExtract!B3</f>
        <v>20488</v>
      </c>
      <c r="D4" s="22">
        <f>DataExtract!C4-DataExtract!C3</f>
        <v>20488</v>
      </c>
      <c r="E4" s="22">
        <f>DataExtract!D4-DataExtract!D3</f>
        <v>0</v>
      </c>
      <c r="F4" s="22">
        <f>DataExtract!E4-DataExtract!E3</f>
        <v>0</v>
      </c>
      <c r="G4" s="22">
        <f>(DataExtract!K4+DataExtract!P4)-(DataExtract!K3+DataExtract!P3)</f>
        <v>0</v>
      </c>
      <c r="H4" s="22">
        <f>(DataExtract!L4+DataExtract!Q4)-(DataExtract!L3+DataExtract!Q3)</f>
        <v>0</v>
      </c>
      <c r="I4" s="22">
        <f>(DataExtract!M4+DataExtract!R4)-(DataExtract!M3+DataExtract!R3)</f>
        <v>0</v>
      </c>
      <c r="J4" s="22">
        <f>(DataExtract!N4+DataExtract!S4)-(DataExtract!N3+DataExtract!S3)</f>
        <v>0</v>
      </c>
      <c r="K4" s="22">
        <f>(DataExtract!O4+DataExtract!T4)-(DataExtract!O3+DataExtract!T3)</f>
        <v>0</v>
      </c>
      <c r="L4" s="22">
        <f>DataExtract!U4-DataExtract!U3</f>
        <v>0</v>
      </c>
      <c r="M4" s="22">
        <f>DataExtract!V4-DataExtract!V3</f>
        <v>0</v>
      </c>
      <c r="N4" s="22">
        <f>DataExtract!W4-DataExtract!W3</f>
        <v>0</v>
      </c>
      <c r="O4" s="22">
        <f>DataExtract!X4-DataExtract!X3</f>
        <v>0</v>
      </c>
      <c r="P4" s="22">
        <f>DataExtract!Y4-DataExtract!Y3</f>
        <v>0</v>
      </c>
      <c r="Q4" s="36">
        <v>1</v>
      </c>
      <c r="R4" s="36">
        <v>0</v>
      </c>
      <c r="S4" s="36">
        <v>0</v>
      </c>
      <c r="T4" s="36">
        <v>0</v>
      </c>
      <c r="U4" s="36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</row>
    <row r="5" spans="1:26" x14ac:dyDescent="0.25">
      <c r="A5" s="25">
        <v>44277</v>
      </c>
      <c r="B5" s="22">
        <f t="shared" si="0"/>
        <v>7</v>
      </c>
      <c r="C5" s="22">
        <f>DataExtract!B5-DataExtract!B4</f>
        <v>34853</v>
      </c>
      <c r="D5" s="22">
        <f>DataExtract!C5-DataExtract!C4</f>
        <v>32424</v>
      </c>
      <c r="E5" s="22">
        <f>DataExtract!D5-DataExtract!D4</f>
        <v>2429</v>
      </c>
      <c r="F5" s="22">
        <f>DataExtract!E5-DataExtract!E4</f>
        <v>0</v>
      </c>
      <c r="G5" s="22">
        <f>(DataExtract!K5+DataExtract!P5)-(DataExtract!K4+DataExtract!P4)</f>
        <v>0</v>
      </c>
      <c r="H5" s="22">
        <f>(DataExtract!L5+DataExtract!Q5)-(DataExtract!L4+DataExtract!Q4)</f>
        <v>0</v>
      </c>
      <c r="I5" s="22">
        <f>(DataExtract!M5+DataExtract!R5)-(DataExtract!M4+DataExtract!R4)</f>
        <v>0</v>
      </c>
      <c r="J5" s="22">
        <f>(DataExtract!N5+DataExtract!S5)-(DataExtract!N4+DataExtract!S4)</f>
        <v>0</v>
      </c>
      <c r="K5" s="22">
        <f>(DataExtract!O5+DataExtract!T5)-(DataExtract!O4+DataExtract!T4)</f>
        <v>0</v>
      </c>
      <c r="L5" s="22">
        <f>DataExtract!U5-DataExtract!U4</f>
        <v>0</v>
      </c>
      <c r="M5" s="22">
        <f>DataExtract!V5-DataExtract!V4</f>
        <v>0</v>
      </c>
      <c r="N5" s="22">
        <f>DataExtract!W5-DataExtract!W4</f>
        <v>0</v>
      </c>
      <c r="O5" s="22">
        <f>DataExtract!X5-DataExtract!X4</f>
        <v>0</v>
      </c>
      <c r="P5" s="22">
        <f>DataExtract!Y5-DataExtract!Y4</f>
        <v>0</v>
      </c>
      <c r="Q5" s="36">
        <v>1</v>
      </c>
      <c r="R5" s="36">
        <v>0</v>
      </c>
      <c r="S5" s="36">
        <v>0</v>
      </c>
      <c r="T5" s="36">
        <v>0</v>
      </c>
      <c r="U5" s="36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</row>
    <row r="6" spans="1:26" x14ac:dyDescent="0.25">
      <c r="A6" s="25">
        <v>44284</v>
      </c>
      <c r="B6" s="22">
        <f t="shared" si="0"/>
        <v>7</v>
      </c>
      <c r="C6" s="22">
        <f>DataExtract!B6-DataExtract!B5</f>
        <v>81117</v>
      </c>
      <c r="D6" s="22">
        <f>DataExtract!C6-DataExtract!C5</f>
        <v>58269</v>
      </c>
      <c r="E6" s="22">
        <f>DataExtract!D6-DataExtract!D5</f>
        <v>22848</v>
      </c>
      <c r="F6" s="22">
        <f>DataExtract!E6-DataExtract!E5</f>
        <v>0</v>
      </c>
      <c r="G6" s="22">
        <f>(DataExtract!K6+DataExtract!P6)-(DataExtract!K5+DataExtract!P5)</f>
        <v>155795</v>
      </c>
      <c r="H6" s="22">
        <f>(DataExtract!L6+DataExtract!Q6)-(DataExtract!L5+DataExtract!Q5)</f>
        <v>10563</v>
      </c>
      <c r="I6" s="22">
        <f>(DataExtract!M6+DataExtract!R6)-(DataExtract!M5+DataExtract!R5)</f>
        <v>0</v>
      </c>
      <c r="J6" s="22">
        <f>(DataExtract!N6+DataExtract!S6)-(DataExtract!N5+DataExtract!S5)</f>
        <v>0</v>
      </c>
      <c r="K6" s="22">
        <f>(DataExtract!O6+DataExtract!T6)-(DataExtract!O5+DataExtract!T5)</f>
        <v>0</v>
      </c>
      <c r="L6" s="22">
        <f>DataExtract!U6-DataExtract!U5</f>
        <v>0</v>
      </c>
      <c r="M6" s="22">
        <f>DataExtract!V6-DataExtract!V5</f>
        <v>0</v>
      </c>
      <c r="N6" s="22">
        <f>DataExtract!W6-DataExtract!W5</f>
        <v>0</v>
      </c>
      <c r="O6" s="22">
        <f>DataExtract!X6-DataExtract!X5</f>
        <v>0</v>
      </c>
      <c r="P6" s="22">
        <f>DataExtract!Y6-DataExtract!Y5</f>
        <v>0</v>
      </c>
      <c r="Q6" s="36">
        <f t="shared" ref="Q6:Q9" si="1">G6/SUM($G6:$K6)</f>
        <v>0.93650440616020869</v>
      </c>
      <c r="R6" s="36">
        <f t="shared" ref="R6:R9" si="2">H6/SUM($G6:$K6)</f>
        <v>6.3495593839791295E-2</v>
      </c>
      <c r="S6" s="36">
        <v>0</v>
      </c>
      <c r="T6" s="36">
        <v>0</v>
      </c>
      <c r="U6" s="36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</row>
    <row r="7" spans="1:26" x14ac:dyDescent="0.25">
      <c r="A7" s="25">
        <v>44291</v>
      </c>
      <c r="B7" s="22">
        <f t="shared" si="0"/>
        <v>7</v>
      </c>
      <c r="C7" s="22">
        <f>DataExtract!B7-DataExtract!B6</f>
        <v>128523</v>
      </c>
      <c r="D7" s="22">
        <f>DataExtract!C7-DataExtract!C6</f>
        <v>106769</v>
      </c>
      <c r="E7" s="22">
        <f>DataExtract!D7-DataExtract!D6</f>
        <v>21754</v>
      </c>
      <c r="F7" s="22">
        <f>DataExtract!E7-DataExtract!E6</f>
        <v>0</v>
      </c>
      <c r="G7" s="22">
        <f>(DataExtract!K7+DataExtract!P7)-(DataExtract!K6+DataExtract!P6)</f>
        <v>97068</v>
      </c>
      <c r="H7" s="22">
        <f>(DataExtract!L7+DataExtract!Q7)-(DataExtract!L6+DataExtract!Q6)</f>
        <v>31455</v>
      </c>
      <c r="I7" s="22">
        <f>(DataExtract!M7+DataExtract!R7)-(DataExtract!M6+DataExtract!R6)</f>
        <v>0</v>
      </c>
      <c r="J7" s="22">
        <f>(DataExtract!N7+DataExtract!S7)-(DataExtract!N6+DataExtract!S6)</f>
        <v>0</v>
      </c>
      <c r="K7" s="22">
        <f>(DataExtract!O7+DataExtract!T7)-(DataExtract!O6+DataExtract!T6)</f>
        <v>0</v>
      </c>
      <c r="L7" s="22">
        <f>DataExtract!U7-DataExtract!U6</f>
        <v>0</v>
      </c>
      <c r="M7" s="22">
        <f>DataExtract!V7-DataExtract!V6</f>
        <v>0</v>
      </c>
      <c r="N7" s="22">
        <f>DataExtract!W7-DataExtract!W6</f>
        <v>0</v>
      </c>
      <c r="O7" s="22">
        <f>DataExtract!X7-DataExtract!X6</f>
        <v>0</v>
      </c>
      <c r="P7" s="22">
        <f>DataExtract!Y7-DataExtract!Y6</f>
        <v>0</v>
      </c>
      <c r="Q7" s="36">
        <f t="shared" si="1"/>
        <v>0.75525781377652246</v>
      </c>
      <c r="R7" s="36">
        <f t="shared" si="2"/>
        <v>0.24474218622347751</v>
      </c>
      <c r="S7" s="36">
        <v>0</v>
      </c>
      <c r="T7" s="36">
        <v>0</v>
      </c>
      <c r="U7" s="36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</row>
    <row r="8" spans="1:26" x14ac:dyDescent="0.25">
      <c r="A8" s="25">
        <v>44298</v>
      </c>
      <c r="B8" s="22">
        <f t="shared" si="0"/>
        <v>7</v>
      </c>
      <c r="C8" s="22">
        <f>DataExtract!B8-DataExtract!B7</f>
        <v>283651</v>
      </c>
      <c r="D8" s="22">
        <f>DataExtract!C8-DataExtract!C7</f>
        <v>257365</v>
      </c>
      <c r="E8" s="22">
        <f>DataExtract!D8-DataExtract!D7</f>
        <v>26286</v>
      </c>
      <c r="F8" s="22">
        <f>DataExtract!E8-DataExtract!E7</f>
        <v>0</v>
      </c>
      <c r="G8" s="22">
        <f>(DataExtract!K8+DataExtract!P8)-(DataExtract!K7+DataExtract!P7)</f>
        <v>271393</v>
      </c>
      <c r="H8" s="22">
        <f>(DataExtract!L8+DataExtract!Q8)-(DataExtract!L7+DataExtract!Q7)</f>
        <v>12258</v>
      </c>
      <c r="I8" s="22">
        <f>(DataExtract!M8+DataExtract!R8)-(DataExtract!M7+DataExtract!R7)</f>
        <v>0</v>
      </c>
      <c r="J8" s="22">
        <f>(DataExtract!N8+DataExtract!S8)-(DataExtract!N7+DataExtract!S7)</f>
        <v>0</v>
      </c>
      <c r="K8" s="22">
        <f>(DataExtract!O8+DataExtract!T8)-(DataExtract!O7+DataExtract!T7)</f>
        <v>0</v>
      </c>
      <c r="L8" s="22">
        <f>DataExtract!U8-DataExtract!U7</f>
        <v>0</v>
      </c>
      <c r="M8" s="22">
        <f>DataExtract!V8-DataExtract!V7</f>
        <v>0</v>
      </c>
      <c r="N8" s="22">
        <f>DataExtract!W8-DataExtract!W7</f>
        <v>0</v>
      </c>
      <c r="O8" s="22">
        <f>DataExtract!X8-DataExtract!X7</f>
        <v>0</v>
      </c>
      <c r="P8" s="22">
        <f>DataExtract!Y8-DataExtract!Y7</f>
        <v>0</v>
      </c>
      <c r="Q8" s="36">
        <f t="shared" si="1"/>
        <v>0.95678492231650869</v>
      </c>
      <c r="R8" s="36">
        <f t="shared" si="2"/>
        <v>4.3215077683491331E-2</v>
      </c>
      <c r="S8" s="36">
        <v>0</v>
      </c>
      <c r="T8" s="36">
        <v>0</v>
      </c>
      <c r="U8" s="36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</row>
    <row r="9" spans="1:26" x14ac:dyDescent="0.25">
      <c r="A9" s="25">
        <v>44305</v>
      </c>
      <c r="B9" s="22">
        <f t="shared" si="0"/>
        <v>7</v>
      </c>
      <c r="C9" s="22">
        <f>DataExtract!B9-DataExtract!B8</f>
        <v>87678</v>
      </c>
      <c r="D9" s="22">
        <f>DataExtract!C9-DataExtract!C8</f>
        <v>66610</v>
      </c>
      <c r="E9" s="22">
        <f>DataExtract!D9-DataExtract!D8</f>
        <v>21068</v>
      </c>
      <c r="F9" s="22">
        <f>DataExtract!E9-DataExtract!E8</f>
        <v>0</v>
      </c>
      <c r="G9" s="22">
        <f>(DataExtract!K9+DataExtract!P9)-(DataExtract!K8+DataExtract!P8)</f>
        <v>84492</v>
      </c>
      <c r="H9" s="22">
        <f>(DataExtract!L9+DataExtract!Q9)-(DataExtract!L8+DataExtract!Q8)</f>
        <v>3186</v>
      </c>
      <c r="I9" s="22">
        <f>(DataExtract!M9+DataExtract!R9)-(DataExtract!M8+DataExtract!R8)</f>
        <v>0</v>
      </c>
      <c r="J9" s="22">
        <f>(DataExtract!N9+DataExtract!S9)-(DataExtract!N8+DataExtract!S8)</f>
        <v>0</v>
      </c>
      <c r="K9" s="22">
        <f>(DataExtract!O9+DataExtract!T9)-(DataExtract!O8+DataExtract!T8)</f>
        <v>0</v>
      </c>
      <c r="L9" s="22">
        <f>DataExtract!U9-DataExtract!U8</f>
        <v>0</v>
      </c>
      <c r="M9" s="22">
        <f>DataExtract!V9-DataExtract!V8</f>
        <v>0</v>
      </c>
      <c r="N9" s="22">
        <f>DataExtract!W9-DataExtract!W8</f>
        <v>0</v>
      </c>
      <c r="O9" s="22">
        <f>DataExtract!X9-DataExtract!X8</f>
        <v>0</v>
      </c>
      <c r="P9" s="22">
        <f>DataExtract!Y9-DataExtract!Y8</f>
        <v>0</v>
      </c>
      <c r="Q9" s="36">
        <f t="shared" si="1"/>
        <v>0.96366249230137546</v>
      </c>
      <c r="R9" s="36">
        <f t="shared" si="2"/>
        <v>3.633750769862451E-2</v>
      </c>
      <c r="S9" s="36">
        <v>0</v>
      </c>
      <c r="T9" s="36">
        <v>0</v>
      </c>
      <c r="U9" s="36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</row>
    <row r="10" spans="1:26" x14ac:dyDescent="0.25">
      <c r="A10" s="25">
        <v>44312</v>
      </c>
      <c r="B10" s="22">
        <f t="shared" si="0"/>
        <v>7</v>
      </c>
      <c r="C10" s="22">
        <f>DataExtract!B10-DataExtract!B9</f>
        <v>560822</v>
      </c>
      <c r="D10" s="22">
        <f>DataExtract!C10-DataExtract!C9</f>
        <v>440563</v>
      </c>
      <c r="E10" s="22">
        <f>DataExtract!D10-DataExtract!D9</f>
        <v>120259</v>
      </c>
      <c r="F10" s="22">
        <f>DataExtract!E10-DataExtract!E9</f>
        <v>0</v>
      </c>
      <c r="G10" s="22"/>
      <c r="H10" s="22"/>
      <c r="I10" s="22"/>
      <c r="J10" s="22"/>
      <c r="K10" s="22"/>
      <c r="L10" s="22">
        <f>DataExtract!U10-DataExtract!U9</f>
        <v>0</v>
      </c>
      <c r="M10" s="22">
        <f>DataExtract!V10-DataExtract!V9</f>
        <v>0</v>
      </c>
      <c r="N10" s="22">
        <f>DataExtract!W10-DataExtract!W9</f>
        <v>0</v>
      </c>
      <c r="O10" s="22">
        <f>DataExtract!X10-DataExtract!X9</f>
        <v>0</v>
      </c>
      <c r="P10" s="22">
        <f>DataExtract!Y10-DataExtract!Y9</f>
        <v>0</v>
      </c>
      <c r="Q10" s="38">
        <f>Q9</f>
        <v>0.96366249230137546</v>
      </c>
      <c r="R10" s="38">
        <f>R9</f>
        <v>3.633750769862451E-2</v>
      </c>
      <c r="S10" s="36">
        <v>0</v>
      </c>
      <c r="T10" s="36">
        <v>0</v>
      </c>
      <c r="U10" s="36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</row>
    <row r="11" spans="1:26" x14ac:dyDescent="0.25">
      <c r="A11" s="25">
        <v>44319</v>
      </c>
      <c r="B11" s="22">
        <f t="shared" si="0"/>
        <v>7</v>
      </c>
      <c r="C11" s="22">
        <f>DataExtract!B11-DataExtract!B10</f>
        <v>271585</v>
      </c>
      <c r="D11" s="22">
        <f>DataExtract!C11-DataExtract!C10</f>
        <v>93683</v>
      </c>
      <c r="E11" s="22">
        <f>DataExtract!D11-DataExtract!D10</f>
        <v>177902</v>
      </c>
      <c r="F11" s="22">
        <f>DataExtract!E11-DataExtract!E10</f>
        <v>0</v>
      </c>
      <c r="G11" s="22"/>
      <c r="H11" s="22"/>
      <c r="I11" s="22"/>
      <c r="J11" s="22"/>
      <c r="K11" s="22"/>
      <c r="L11" s="22">
        <f>DataExtract!U11-DataExtract!U10</f>
        <v>0</v>
      </c>
      <c r="M11" s="22">
        <f>DataExtract!V11-DataExtract!V10</f>
        <v>0</v>
      </c>
      <c r="N11" s="22">
        <f>DataExtract!W11-DataExtract!W10</f>
        <v>0</v>
      </c>
      <c r="O11" s="22">
        <f>DataExtract!X11-DataExtract!X10</f>
        <v>0</v>
      </c>
      <c r="P11" s="22">
        <f>DataExtract!Y11-DataExtract!Y10</f>
        <v>0</v>
      </c>
      <c r="Q11" s="38">
        <f>Q10</f>
        <v>0.96366249230137546</v>
      </c>
      <c r="R11" s="38">
        <f t="shared" ref="R11:R12" si="3">R10</f>
        <v>3.633750769862451E-2</v>
      </c>
      <c r="S11" s="36">
        <v>0</v>
      </c>
      <c r="T11" s="36">
        <v>0</v>
      </c>
      <c r="U11" s="36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</row>
    <row r="12" spans="1:26" x14ac:dyDescent="0.25">
      <c r="A12" s="25">
        <v>44326</v>
      </c>
      <c r="B12" s="22">
        <f t="shared" si="0"/>
        <v>7</v>
      </c>
      <c r="C12" s="22">
        <f>DataExtract!B12-DataExtract!B11</f>
        <v>399837</v>
      </c>
      <c r="D12" s="22">
        <f>DataExtract!C12-DataExtract!C11</f>
        <v>259921</v>
      </c>
      <c r="E12" s="22">
        <f>DataExtract!D12-DataExtract!D11</f>
        <v>139916</v>
      </c>
      <c r="F12" s="22">
        <f>DataExtract!E12-DataExtract!E11</f>
        <v>0</v>
      </c>
      <c r="G12" s="22"/>
      <c r="H12" s="22"/>
      <c r="I12" s="22"/>
      <c r="J12" s="22"/>
      <c r="K12" s="22"/>
      <c r="L12" s="22">
        <f>DataExtract!U12-DataExtract!U11</f>
        <v>0</v>
      </c>
      <c r="M12" s="22">
        <f>DataExtract!V12-DataExtract!V11</f>
        <v>0</v>
      </c>
      <c r="N12" s="22">
        <f>DataExtract!W12-DataExtract!W11</f>
        <v>0</v>
      </c>
      <c r="O12" s="22">
        <f>DataExtract!X12-DataExtract!X11</f>
        <v>0</v>
      </c>
      <c r="P12" s="22">
        <f>DataExtract!Y12-DataExtract!Y11</f>
        <v>0</v>
      </c>
      <c r="Q12" s="38">
        <f>Q11</f>
        <v>0.96366249230137546</v>
      </c>
      <c r="R12" s="38">
        <f t="shared" si="3"/>
        <v>3.633750769862451E-2</v>
      </c>
      <c r="S12" s="36">
        <v>0</v>
      </c>
      <c r="T12" s="36">
        <v>0</v>
      </c>
      <c r="U12" s="36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</row>
    <row r="13" spans="1:26" x14ac:dyDescent="0.25">
      <c r="A13" s="25">
        <v>44333</v>
      </c>
      <c r="B13" s="22">
        <f t="shared" si="0"/>
        <v>7</v>
      </c>
      <c r="C13" s="22">
        <f>DataExtract!B13-DataExtract!B12</f>
        <v>442541</v>
      </c>
      <c r="D13" s="22">
        <f>DataExtract!C13-DataExtract!C12</f>
        <v>155042</v>
      </c>
      <c r="E13" s="22">
        <f>DataExtract!D13-DataExtract!D12</f>
        <v>287499</v>
      </c>
      <c r="F13" s="22">
        <f>DataExtract!E13-DataExtract!E12</f>
        <v>0</v>
      </c>
      <c r="G13" s="22">
        <f>(DataExtract!K13+DataExtract!P13)-(DataExtract!K9+DataExtract!P9)</f>
        <v>1623127</v>
      </c>
      <c r="H13" s="22">
        <f>(DataExtract!L13+DataExtract!Q13)-(DataExtract!L9+DataExtract!Q9)</f>
        <v>51658</v>
      </c>
      <c r="I13" s="22">
        <f>(DataExtract!M13+DataExtract!R13)-(DataExtract!M9+DataExtract!R9)</f>
        <v>0</v>
      </c>
      <c r="J13" s="22">
        <f>(DataExtract!N13+DataExtract!S13)-(DataExtract!N9+DataExtract!S9)</f>
        <v>0</v>
      </c>
      <c r="K13" s="22">
        <f>(DataExtract!O13+DataExtract!T13)-(DataExtract!O9+DataExtract!T9)</f>
        <v>0</v>
      </c>
      <c r="L13" s="22">
        <f>DataExtract!U13-DataExtract!U12</f>
        <v>0</v>
      </c>
      <c r="M13" s="22">
        <f>DataExtract!V13-DataExtract!V12</f>
        <v>0</v>
      </c>
      <c r="N13" s="22">
        <f>DataExtract!W13-DataExtract!W12</f>
        <v>0</v>
      </c>
      <c r="O13" s="22">
        <f>DataExtract!X13-DataExtract!X12</f>
        <v>0</v>
      </c>
      <c r="P13" s="22">
        <f>DataExtract!Y13-DataExtract!Y12</f>
        <v>0</v>
      </c>
      <c r="Q13" s="36">
        <f t="shared" ref="Q13:Q28" si="4">G13/SUM($G13:$K13)</f>
        <v>0.96915544383308905</v>
      </c>
      <c r="R13" s="36">
        <f t="shared" ref="R13:R28" si="5">H13/SUM($G13:$K13)</f>
        <v>3.0844556166910977E-2</v>
      </c>
      <c r="S13" s="36">
        <f t="shared" ref="S13:S28" si="6">I13/SUM($G13:$K13)</f>
        <v>0</v>
      </c>
      <c r="T13" s="36">
        <f t="shared" ref="T13:T28" si="7">J13/SUM($G13:$K13)</f>
        <v>0</v>
      </c>
      <c r="U13" s="36">
        <f t="shared" ref="U13:U28" si="8">K13/SUM($G13:$K13)</f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</row>
    <row r="14" spans="1:26" x14ac:dyDescent="0.25">
      <c r="A14" s="25">
        <v>44340</v>
      </c>
      <c r="B14" s="22">
        <f t="shared" si="0"/>
        <v>7</v>
      </c>
      <c r="C14" s="22">
        <f>DataExtract!B14-DataExtract!B13</f>
        <v>683318</v>
      </c>
      <c r="D14" s="22">
        <f>DataExtract!C14-DataExtract!C13</f>
        <v>523089</v>
      </c>
      <c r="E14" s="22">
        <f>DataExtract!D14-DataExtract!D13</f>
        <v>160229</v>
      </c>
      <c r="F14" s="22">
        <f>DataExtract!E14-DataExtract!E13</f>
        <v>0</v>
      </c>
      <c r="G14" s="22">
        <f>(DataExtract!K14+DataExtract!P14)-(DataExtract!K13+DataExtract!P13)</f>
        <v>660788</v>
      </c>
      <c r="H14" s="22">
        <f>(DataExtract!L14+DataExtract!Q14)-(DataExtract!L13+DataExtract!Q13)</f>
        <v>22530</v>
      </c>
      <c r="I14" s="22">
        <f>(DataExtract!M14+DataExtract!R14)-(DataExtract!M13+DataExtract!R13)</f>
        <v>0</v>
      </c>
      <c r="J14" s="22">
        <f>(DataExtract!N14+DataExtract!S14)-(DataExtract!N13+DataExtract!S13)</f>
        <v>0</v>
      </c>
      <c r="K14" s="22">
        <f>(DataExtract!O14+DataExtract!T14)-(DataExtract!O13+DataExtract!T13)</f>
        <v>0</v>
      </c>
      <c r="L14" s="22">
        <f>DataExtract!U14-DataExtract!U13</f>
        <v>0</v>
      </c>
      <c r="M14" s="22">
        <f>DataExtract!V14-DataExtract!V13</f>
        <v>0</v>
      </c>
      <c r="N14" s="22">
        <f>DataExtract!W14-DataExtract!W13</f>
        <v>0</v>
      </c>
      <c r="O14" s="22">
        <f>DataExtract!X14-DataExtract!X13</f>
        <v>0</v>
      </c>
      <c r="P14" s="22">
        <f>DataExtract!Y14-DataExtract!Y13</f>
        <v>0</v>
      </c>
      <c r="Q14" s="36">
        <f t="shared" si="4"/>
        <v>0.96702852844502851</v>
      </c>
      <c r="R14" s="36">
        <f t="shared" si="5"/>
        <v>3.2971471554971481E-2</v>
      </c>
      <c r="S14" s="36">
        <f t="shared" si="6"/>
        <v>0</v>
      </c>
      <c r="T14" s="36">
        <f t="shared" si="7"/>
        <v>0</v>
      </c>
      <c r="U14" s="36">
        <f t="shared" si="8"/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</row>
    <row r="15" spans="1:26" x14ac:dyDescent="0.25">
      <c r="A15" s="25">
        <v>44347</v>
      </c>
      <c r="B15" s="22">
        <f t="shared" si="0"/>
        <v>7</v>
      </c>
      <c r="C15" s="22">
        <f>DataExtract!B15-DataExtract!B14</f>
        <v>640546</v>
      </c>
      <c r="D15" s="22">
        <f>DataExtract!C15-DataExtract!C14</f>
        <v>495368</v>
      </c>
      <c r="E15" s="22">
        <f>DataExtract!D15-DataExtract!D14</f>
        <v>145178</v>
      </c>
      <c r="F15" s="22">
        <f>DataExtract!E15-DataExtract!E14</f>
        <v>0</v>
      </c>
      <c r="G15" s="22">
        <f>(DataExtract!K15+DataExtract!P15)-(DataExtract!K14+DataExtract!P14)</f>
        <v>640546</v>
      </c>
      <c r="H15" s="22">
        <f>(DataExtract!L15+DataExtract!Q15)-(DataExtract!L14+DataExtract!Q14)</f>
        <v>0</v>
      </c>
      <c r="I15" s="22">
        <f>(DataExtract!M15+DataExtract!R15)-(DataExtract!M14+DataExtract!R14)</f>
        <v>0</v>
      </c>
      <c r="J15" s="22">
        <f>(DataExtract!N15+DataExtract!S15)-(DataExtract!N14+DataExtract!S14)</f>
        <v>0</v>
      </c>
      <c r="K15" s="22">
        <f>(DataExtract!O15+DataExtract!T15)-(DataExtract!O14+DataExtract!T14)</f>
        <v>0</v>
      </c>
      <c r="L15" s="22">
        <f>DataExtract!U15-DataExtract!U14</f>
        <v>0</v>
      </c>
      <c r="M15" s="22">
        <f>DataExtract!V15-DataExtract!V14</f>
        <v>0</v>
      </c>
      <c r="N15" s="22">
        <f>DataExtract!W15-DataExtract!W14</f>
        <v>0</v>
      </c>
      <c r="O15" s="22">
        <f>DataExtract!X15-DataExtract!X14</f>
        <v>0</v>
      </c>
      <c r="P15" s="22">
        <f>DataExtract!Y15-DataExtract!Y14</f>
        <v>0</v>
      </c>
      <c r="Q15" s="36">
        <f t="shared" si="4"/>
        <v>1</v>
      </c>
      <c r="R15" s="36">
        <f t="shared" si="5"/>
        <v>0</v>
      </c>
      <c r="S15" s="36">
        <f t="shared" si="6"/>
        <v>0</v>
      </c>
      <c r="T15" s="36">
        <f t="shared" si="7"/>
        <v>0</v>
      </c>
      <c r="U15" s="36">
        <f t="shared" si="8"/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</row>
    <row r="16" spans="1:26" x14ac:dyDescent="0.25">
      <c r="A16" s="25">
        <v>44354</v>
      </c>
      <c r="B16" s="22">
        <f t="shared" si="0"/>
        <v>7</v>
      </c>
      <c r="C16" s="22">
        <f>DataExtract!B16-DataExtract!B15</f>
        <v>970082</v>
      </c>
      <c r="D16" s="22">
        <f>DataExtract!C16-DataExtract!C15</f>
        <v>704422</v>
      </c>
      <c r="E16" s="22">
        <f>DataExtract!D16-DataExtract!D15</f>
        <v>265660</v>
      </c>
      <c r="F16" s="22">
        <f>DataExtract!E16-DataExtract!E15</f>
        <v>0</v>
      </c>
      <c r="G16" s="22">
        <f>(DataExtract!K16+DataExtract!P16)-(DataExtract!K15+DataExtract!P15)</f>
        <v>606272</v>
      </c>
      <c r="H16" s="22">
        <f>(DataExtract!L16+DataExtract!Q16)-(DataExtract!L15+DataExtract!Q15)</f>
        <v>363810</v>
      </c>
      <c r="I16" s="22">
        <f>(DataExtract!M16+DataExtract!R16)-(DataExtract!M15+DataExtract!R15)</f>
        <v>0</v>
      </c>
      <c r="J16" s="22">
        <f>(DataExtract!N16+DataExtract!S16)-(DataExtract!N15+DataExtract!S15)</f>
        <v>0</v>
      </c>
      <c r="K16" s="22">
        <f>(DataExtract!O16+DataExtract!T16)-(DataExtract!O15+DataExtract!T15)</f>
        <v>0</v>
      </c>
      <c r="L16" s="22">
        <f>DataExtract!U16-DataExtract!U15</f>
        <v>0</v>
      </c>
      <c r="M16" s="22">
        <f>DataExtract!V16-DataExtract!V15</f>
        <v>0</v>
      </c>
      <c r="N16" s="22">
        <f>DataExtract!W16-DataExtract!W15</f>
        <v>0</v>
      </c>
      <c r="O16" s="22">
        <f>DataExtract!X16-DataExtract!X15</f>
        <v>0</v>
      </c>
      <c r="P16" s="22">
        <f>DataExtract!Y16-DataExtract!Y15</f>
        <v>0</v>
      </c>
      <c r="Q16" s="36">
        <f t="shared" si="4"/>
        <v>0.62496984790976429</v>
      </c>
      <c r="R16" s="36">
        <f t="shared" si="5"/>
        <v>0.37503015209023566</v>
      </c>
      <c r="S16" s="36">
        <f t="shared" si="6"/>
        <v>0</v>
      </c>
      <c r="T16" s="36">
        <f t="shared" si="7"/>
        <v>0</v>
      </c>
      <c r="U16" s="36">
        <f t="shared" si="8"/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</row>
    <row r="17" spans="1:26" x14ac:dyDescent="0.25">
      <c r="A17" s="25">
        <v>44361</v>
      </c>
      <c r="B17" s="22">
        <f t="shared" si="0"/>
        <v>7</v>
      </c>
      <c r="C17" s="22">
        <f>DataExtract!B17-DataExtract!B16</f>
        <v>1876243</v>
      </c>
      <c r="D17" s="22">
        <f>DataExtract!C17-DataExtract!C16</f>
        <v>1518150</v>
      </c>
      <c r="E17" s="22">
        <f>DataExtract!D17-DataExtract!D16</f>
        <v>358093</v>
      </c>
      <c r="F17" s="22">
        <f>DataExtract!E17-DataExtract!E16</f>
        <v>0</v>
      </c>
      <c r="G17" s="22">
        <f>(DataExtract!K17+DataExtract!P17)-(DataExtract!K16+DataExtract!P16)</f>
        <v>662009</v>
      </c>
      <c r="H17" s="22">
        <f>(DataExtract!L17+DataExtract!Q17)-(DataExtract!L16+DataExtract!Q16)</f>
        <v>1214234</v>
      </c>
      <c r="I17" s="22">
        <f>(DataExtract!M17+DataExtract!R17)-(DataExtract!M16+DataExtract!R16)</f>
        <v>0</v>
      </c>
      <c r="J17" s="22">
        <f>(DataExtract!N17+DataExtract!S17)-(DataExtract!N16+DataExtract!S16)</f>
        <v>0</v>
      </c>
      <c r="K17" s="22">
        <f>(DataExtract!O17+DataExtract!T17)-(DataExtract!O16+DataExtract!T16)</f>
        <v>0</v>
      </c>
      <c r="L17" s="22">
        <f>DataExtract!U17-DataExtract!U16</f>
        <v>0</v>
      </c>
      <c r="M17" s="22">
        <f>DataExtract!V17-DataExtract!V16</f>
        <v>0</v>
      </c>
      <c r="N17" s="22">
        <f>DataExtract!W17-DataExtract!W16</f>
        <v>0</v>
      </c>
      <c r="O17" s="22">
        <f>DataExtract!X17-DataExtract!X16</f>
        <v>0</v>
      </c>
      <c r="P17" s="22">
        <f>DataExtract!Y17-DataExtract!Y16</f>
        <v>0</v>
      </c>
      <c r="Q17" s="36">
        <f t="shared" si="4"/>
        <v>0.35283755888762808</v>
      </c>
      <c r="R17" s="36">
        <f t="shared" si="5"/>
        <v>0.64716244111237187</v>
      </c>
      <c r="S17" s="36">
        <f t="shared" si="6"/>
        <v>0</v>
      </c>
      <c r="T17" s="36">
        <f t="shared" si="7"/>
        <v>0</v>
      </c>
      <c r="U17" s="36">
        <f t="shared" si="8"/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</row>
    <row r="18" spans="1:26" x14ac:dyDescent="0.25">
      <c r="A18" s="25">
        <v>44368</v>
      </c>
      <c r="B18" s="22">
        <f t="shared" si="0"/>
        <v>7</v>
      </c>
      <c r="C18" s="22">
        <f>DataExtract!B18-DataExtract!B17</f>
        <v>1395512</v>
      </c>
      <c r="D18" s="22">
        <f>DataExtract!C18-DataExtract!C17</f>
        <v>916785</v>
      </c>
      <c r="E18" s="22">
        <f>DataExtract!D18-DataExtract!D17</f>
        <v>478727</v>
      </c>
      <c r="F18" s="22">
        <f>DataExtract!E18-DataExtract!E17</f>
        <v>0</v>
      </c>
      <c r="G18" s="22">
        <f>(DataExtract!K18+DataExtract!P18)-(DataExtract!K17+DataExtract!P17)</f>
        <v>749401</v>
      </c>
      <c r="H18" s="22">
        <f>(DataExtract!L18+DataExtract!Q18)-(DataExtract!L17+DataExtract!Q17)</f>
        <v>646111</v>
      </c>
      <c r="I18" s="22">
        <f>(DataExtract!M18+DataExtract!R18)-(DataExtract!M17+DataExtract!R17)</f>
        <v>0</v>
      </c>
      <c r="J18" s="22">
        <f>(DataExtract!N18+DataExtract!S18)-(DataExtract!N17+DataExtract!S17)</f>
        <v>0</v>
      </c>
      <c r="K18" s="22">
        <f>(DataExtract!O18+DataExtract!T18)-(DataExtract!O17+DataExtract!T17)</f>
        <v>0</v>
      </c>
      <c r="L18" s="22">
        <f>DataExtract!U18-DataExtract!U17</f>
        <v>0</v>
      </c>
      <c r="M18" s="22">
        <f>DataExtract!V18-DataExtract!V17</f>
        <v>0</v>
      </c>
      <c r="N18" s="22">
        <f>DataExtract!W18-DataExtract!W17</f>
        <v>0</v>
      </c>
      <c r="O18" s="22">
        <f>DataExtract!X18-DataExtract!X17</f>
        <v>0</v>
      </c>
      <c r="P18" s="22">
        <f>DataExtract!Y18-DataExtract!Y17</f>
        <v>0</v>
      </c>
      <c r="Q18" s="36">
        <f t="shared" si="4"/>
        <v>0.53700792254025764</v>
      </c>
      <c r="R18" s="36">
        <f t="shared" si="5"/>
        <v>0.46299207745974236</v>
      </c>
      <c r="S18" s="36">
        <f t="shared" si="6"/>
        <v>0</v>
      </c>
      <c r="T18" s="36">
        <f t="shared" si="7"/>
        <v>0</v>
      </c>
      <c r="U18" s="36">
        <f t="shared" si="8"/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</row>
    <row r="19" spans="1:26" x14ac:dyDescent="0.25">
      <c r="A19" s="25">
        <v>44375</v>
      </c>
      <c r="B19" s="22">
        <f t="shared" si="0"/>
        <v>7</v>
      </c>
      <c r="C19" s="22">
        <f>DataExtract!B19-DataExtract!B18</f>
        <v>1510276</v>
      </c>
      <c r="D19" s="22">
        <f>DataExtract!C19-DataExtract!C18</f>
        <v>1042190</v>
      </c>
      <c r="E19" s="22">
        <f>DataExtract!D19-DataExtract!D18</f>
        <v>468086</v>
      </c>
      <c r="F19" s="22">
        <f>DataExtract!E19-DataExtract!E18</f>
        <v>0</v>
      </c>
      <c r="G19" s="22">
        <f>(DataExtract!K19+DataExtract!P19)-(DataExtract!K18+DataExtract!P18)</f>
        <v>611241</v>
      </c>
      <c r="H19" s="22">
        <f>(DataExtract!L19+DataExtract!Q19)-(DataExtract!L18+DataExtract!Q18)</f>
        <v>887582</v>
      </c>
      <c r="I19" s="22">
        <f>(DataExtract!M19+DataExtract!R19)-(DataExtract!M18+DataExtract!R18)</f>
        <v>11453</v>
      </c>
      <c r="J19" s="22">
        <f>(DataExtract!N19+DataExtract!S19)-(DataExtract!N18+DataExtract!S18)</f>
        <v>0</v>
      </c>
      <c r="K19" s="22">
        <f>(DataExtract!O19+DataExtract!T19)-(DataExtract!O18+DataExtract!T18)</f>
        <v>0</v>
      </c>
      <c r="L19" s="22">
        <f>DataExtract!U19-DataExtract!U18</f>
        <v>0</v>
      </c>
      <c r="M19" s="22">
        <f>DataExtract!V19-DataExtract!V18</f>
        <v>0</v>
      </c>
      <c r="N19" s="22">
        <f>DataExtract!W19-DataExtract!W18</f>
        <v>0</v>
      </c>
      <c r="O19" s="22">
        <f>DataExtract!X19-DataExtract!X18</f>
        <v>0</v>
      </c>
      <c r="P19" s="22">
        <f>DataExtract!Y19-DataExtract!Y18</f>
        <v>0</v>
      </c>
      <c r="Q19" s="36">
        <f t="shared" si="4"/>
        <v>0.40472138867332857</v>
      </c>
      <c r="R19" s="36">
        <f t="shared" si="5"/>
        <v>0.58769522921638162</v>
      </c>
      <c r="S19" s="36">
        <f t="shared" si="6"/>
        <v>7.5833821102897752E-3</v>
      </c>
      <c r="T19" s="36">
        <f t="shared" si="7"/>
        <v>0</v>
      </c>
      <c r="U19" s="36">
        <f t="shared" si="8"/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</row>
    <row r="20" spans="1:26" x14ac:dyDescent="0.25">
      <c r="A20" s="25">
        <v>44382</v>
      </c>
      <c r="B20" s="22">
        <f t="shared" si="0"/>
        <v>7</v>
      </c>
      <c r="C20" s="22">
        <f>DataExtract!B20-DataExtract!B19</f>
        <v>1641418</v>
      </c>
      <c r="D20" s="22">
        <f>DataExtract!C20-DataExtract!C19</f>
        <v>1300991</v>
      </c>
      <c r="E20" s="22">
        <f>DataExtract!D20-DataExtract!D19</f>
        <v>340427</v>
      </c>
      <c r="F20" s="22">
        <f>DataExtract!E20-DataExtract!E19</f>
        <v>0</v>
      </c>
      <c r="G20" s="22">
        <f>(DataExtract!K20+DataExtract!P20)-(DataExtract!K19+DataExtract!P19)</f>
        <v>456877</v>
      </c>
      <c r="H20" s="22">
        <f>(DataExtract!L20+DataExtract!Q20)-(DataExtract!L19+DataExtract!Q19)</f>
        <v>1063493</v>
      </c>
      <c r="I20" s="22">
        <f>(DataExtract!M20+DataExtract!R20)-(DataExtract!M19+DataExtract!R19)</f>
        <v>121048</v>
      </c>
      <c r="J20" s="22">
        <f>(DataExtract!N20+DataExtract!S20)-(DataExtract!N19+DataExtract!S19)</f>
        <v>0</v>
      </c>
      <c r="K20" s="22">
        <f>(DataExtract!O20+DataExtract!T20)-(DataExtract!O19+DataExtract!T19)</f>
        <v>0</v>
      </c>
      <c r="L20" s="22">
        <f>DataExtract!U20-DataExtract!U19</f>
        <v>0</v>
      </c>
      <c r="M20" s="22">
        <f>DataExtract!V20-DataExtract!V19</f>
        <v>0</v>
      </c>
      <c r="N20" s="22">
        <f>DataExtract!W20-DataExtract!W19</f>
        <v>0</v>
      </c>
      <c r="O20" s="22">
        <f>DataExtract!X20-DataExtract!X19</f>
        <v>0</v>
      </c>
      <c r="P20" s="22">
        <f>DataExtract!Y20-DataExtract!Y19</f>
        <v>0</v>
      </c>
      <c r="Q20" s="36">
        <f t="shared" si="4"/>
        <v>0.27834287183398743</v>
      </c>
      <c r="R20" s="36">
        <f t="shared" si="5"/>
        <v>0.6479111353719772</v>
      </c>
      <c r="S20" s="36">
        <f t="shared" si="6"/>
        <v>7.3745992794035403E-2</v>
      </c>
      <c r="T20" s="36">
        <f t="shared" si="7"/>
        <v>0</v>
      </c>
      <c r="U20" s="36">
        <f t="shared" si="8"/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</row>
    <row r="21" spans="1:26" x14ac:dyDescent="0.25">
      <c r="A21" s="25">
        <v>44389</v>
      </c>
      <c r="B21" s="22">
        <f t="shared" si="0"/>
        <v>7</v>
      </c>
      <c r="C21" s="22">
        <f>DataExtract!B21-DataExtract!B20</f>
        <v>1849803</v>
      </c>
      <c r="D21" s="22">
        <f>DataExtract!C21-DataExtract!C20</f>
        <v>1576920</v>
      </c>
      <c r="E21" s="22">
        <f>DataExtract!D21-DataExtract!D20</f>
        <v>272883</v>
      </c>
      <c r="F21" s="22">
        <f>DataExtract!E21-DataExtract!E20</f>
        <v>0</v>
      </c>
      <c r="G21" s="22">
        <f>(DataExtract!K21+DataExtract!P21)-(DataExtract!K20+DataExtract!P20)</f>
        <v>465904</v>
      </c>
      <c r="H21" s="22">
        <f>(DataExtract!L21+DataExtract!Q21)-(DataExtract!L20+DataExtract!Q20)</f>
        <v>1255789</v>
      </c>
      <c r="I21" s="22">
        <f>(DataExtract!M21+DataExtract!R21)-(DataExtract!M20+DataExtract!R20)</f>
        <v>128110</v>
      </c>
      <c r="J21" s="22">
        <f>(DataExtract!N21+DataExtract!S21)-(DataExtract!N20+DataExtract!S20)</f>
        <v>0</v>
      </c>
      <c r="K21" s="22">
        <f>(DataExtract!O21+DataExtract!T21)-(DataExtract!O20+DataExtract!T20)</f>
        <v>0</v>
      </c>
      <c r="L21" s="22">
        <f>DataExtract!U21-DataExtract!U20</f>
        <v>0</v>
      </c>
      <c r="M21" s="22">
        <f>DataExtract!V21-DataExtract!V20</f>
        <v>0</v>
      </c>
      <c r="N21" s="22">
        <f>DataExtract!W21-DataExtract!W20</f>
        <v>0</v>
      </c>
      <c r="O21" s="22">
        <f>DataExtract!X21-DataExtract!X20</f>
        <v>0</v>
      </c>
      <c r="P21" s="22">
        <f>DataExtract!Y21-DataExtract!Y20</f>
        <v>0</v>
      </c>
      <c r="Q21" s="36">
        <f t="shared" si="4"/>
        <v>0.25186682041276826</v>
      </c>
      <c r="R21" s="36">
        <f t="shared" si="5"/>
        <v>0.67887715610797472</v>
      </c>
      <c r="S21" s="36">
        <f t="shared" si="6"/>
        <v>6.9256023479256981E-2</v>
      </c>
      <c r="T21" s="36">
        <f t="shared" si="7"/>
        <v>0</v>
      </c>
      <c r="U21" s="36">
        <f t="shared" si="8"/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</row>
    <row r="22" spans="1:26" x14ac:dyDescent="0.25">
      <c r="A22" s="25">
        <v>44396</v>
      </c>
      <c r="B22" s="22">
        <f t="shared" si="0"/>
        <v>7</v>
      </c>
      <c r="C22" s="22">
        <f>DataExtract!B22-DataExtract!B21</f>
        <v>1639051</v>
      </c>
      <c r="D22" s="22">
        <f>DataExtract!C22-DataExtract!C21</f>
        <v>1468569</v>
      </c>
      <c r="E22" s="22">
        <f>DataExtract!D22-DataExtract!D21</f>
        <v>170482</v>
      </c>
      <c r="F22" s="22">
        <f>DataExtract!E22-DataExtract!E21</f>
        <v>0</v>
      </c>
      <c r="G22" s="22">
        <f>(DataExtract!K22+DataExtract!P22)-(DataExtract!K21+DataExtract!P21)</f>
        <v>523399</v>
      </c>
      <c r="H22" s="22">
        <f>(DataExtract!L22+DataExtract!Q22)-(DataExtract!L21+DataExtract!Q21)</f>
        <v>901071</v>
      </c>
      <c r="I22" s="22">
        <f>(DataExtract!M22+DataExtract!R22)-(DataExtract!M21+DataExtract!R21)</f>
        <v>214581</v>
      </c>
      <c r="J22" s="22">
        <f>(DataExtract!N22+DataExtract!S22)-(DataExtract!N21+DataExtract!S21)</f>
        <v>0</v>
      </c>
      <c r="K22" s="22">
        <f>(DataExtract!O22+DataExtract!T22)-(DataExtract!O21+DataExtract!T21)</f>
        <v>0</v>
      </c>
      <c r="L22" s="22">
        <f>DataExtract!U22-DataExtract!U21</f>
        <v>0</v>
      </c>
      <c r="M22" s="22">
        <f>DataExtract!V22-DataExtract!V21</f>
        <v>0</v>
      </c>
      <c r="N22" s="22">
        <f>DataExtract!W22-DataExtract!W21</f>
        <v>0</v>
      </c>
      <c r="O22" s="22">
        <f>DataExtract!X22-DataExtract!X21</f>
        <v>0</v>
      </c>
      <c r="P22" s="22">
        <f>DataExtract!Y22-DataExtract!Y21</f>
        <v>0</v>
      </c>
      <c r="Q22" s="36">
        <f t="shared" si="4"/>
        <v>0.31933051503583476</v>
      </c>
      <c r="R22" s="36">
        <f t="shared" si="5"/>
        <v>0.54975165507357615</v>
      </c>
      <c r="S22" s="36">
        <f t="shared" si="6"/>
        <v>0.13091782989058912</v>
      </c>
      <c r="T22" s="36">
        <f t="shared" si="7"/>
        <v>0</v>
      </c>
      <c r="U22" s="36">
        <f t="shared" si="8"/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</row>
    <row r="23" spans="1:26" x14ac:dyDescent="0.25">
      <c r="A23" s="25">
        <v>44402</v>
      </c>
      <c r="B23" s="22">
        <f t="shared" si="0"/>
        <v>6</v>
      </c>
      <c r="C23" s="22">
        <f>DataExtract!B23-DataExtract!B22</f>
        <v>1413534</v>
      </c>
      <c r="D23" s="22">
        <f>DataExtract!C23-DataExtract!C22</f>
        <v>1240270</v>
      </c>
      <c r="E23" s="22">
        <f>DataExtract!D23-DataExtract!D22</f>
        <v>173264</v>
      </c>
      <c r="F23" s="22">
        <f>DataExtract!E23-DataExtract!E22</f>
        <v>0</v>
      </c>
      <c r="G23" s="22">
        <f>(DataExtract!K23+DataExtract!P23)-(DataExtract!K22+DataExtract!P22)</f>
        <v>508325</v>
      </c>
      <c r="H23" s="22">
        <f>(DataExtract!L23+DataExtract!Q23)-(DataExtract!L22+DataExtract!Q22)</f>
        <v>675286</v>
      </c>
      <c r="I23" s="22">
        <f>(DataExtract!M23+DataExtract!R23)-(DataExtract!M22+DataExtract!R22)</f>
        <v>229923</v>
      </c>
      <c r="J23" s="22">
        <f>(DataExtract!N23+DataExtract!S23)-(DataExtract!N22+DataExtract!S22)</f>
        <v>0</v>
      </c>
      <c r="K23" s="22">
        <f>(DataExtract!O23+DataExtract!T23)-(DataExtract!O22+DataExtract!T22)</f>
        <v>0</v>
      </c>
      <c r="L23" s="22">
        <f>DataExtract!U23-DataExtract!U22</f>
        <v>0</v>
      </c>
      <c r="M23" s="22">
        <f>DataExtract!V23-DataExtract!V22</f>
        <v>0</v>
      </c>
      <c r="N23" s="22">
        <f>DataExtract!W23-DataExtract!W22</f>
        <v>0</v>
      </c>
      <c r="O23" s="22">
        <f>DataExtract!X23-DataExtract!X22</f>
        <v>0</v>
      </c>
      <c r="P23" s="22">
        <f>DataExtract!Y23-DataExtract!Y22</f>
        <v>0</v>
      </c>
      <c r="Q23" s="36">
        <f t="shared" si="4"/>
        <v>0.35961285685381461</v>
      </c>
      <c r="R23" s="36">
        <f t="shared" si="5"/>
        <v>0.47772886962747269</v>
      </c>
      <c r="S23" s="36">
        <f t="shared" si="6"/>
        <v>0.16265827351871268</v>
      </c>
      <c r="T23" s="36">
        <f t="shared" si="7"/>
        <v>0</v>
      </c>
      <c r="U23" s="36">
        <f t="shared" si="8"/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</row>
    <row r="24" spans="1:26" x14ac:dyDescent="0.25">
      <c r="A24" s="25">
        <v>44410</v>
      </c>
      <c r="B24" s="22">
        <f t="shared" si="0"/>
        <v>8</v>
      </c>
      <c r="C24" s="22">
        <f>DataExtract!B24-DataExtract!B23</f>
        <v>2238047</v>
      </c>
      <c r="D24" s="22">
        <f>DataExtract!C24-DataExtract!C23</f>
        <v>1899689</v>
      </c>
      <c r="E24" s="22">
        <f>DataExtract!D24-DataExtract!D23</f>
        <v>338358</v>
      </c>
      <c r="F24" s="22">
        <f>DataExtract!E24-DataExtract!E23</f>
        <v>0</v>
      </c>
      <c r="G24" s="22">
        <f>(DataExtract!K24+DataExtract!P24)-(DataExtract!K23+DataExtract!P23)</f>
        <v>745191</v>
      </c>
      <c r="H24" s="22">
        <f>(DataExtract!L24+DataExtract!Q24)-(DataExtract!L23+DataExtract!Q23)</f>
        <v>1089095</v>
      </c>
      <c r="I24" s="22">
        <f>(DataExtract!M24+DataExtract!R24)-(DataExtract!M23+DataExtract!R23)</f>
        <v>403761</v>
      </c>
      <c r="J24" s="22">
        <f>(DataExtract!N24+DataExtract!S24)-(DataExtract!N23+DataExtract!S23)</f>
        <v>0</v>
      </c>
      <c r="K24" s="22">
        <f>(DataExtract!O24+DataExtract!T24)-(DataExtract!O23+DataExtract!T23)</f>
        <v>0</v>
      </c>
      <c r="L24" s="22">
        <f>DataExtract!U24-DataExtract!U23</f>
        <v>0</v>
      </c>
      <c r="M24" s="22">
        <f>DataExtract!V24-DataExtract!V23</f>
        <v>0</v>
      </c>
      <c r="N24" s="22">
        <f>DataExtract!W24-DataExtract!W23</f>
        <v>0</v>
      </c>
      <c r="O24" s="22">
        <f>DataExtract!X24-DataExtract!X23</f>
        <v>0</v>
      </c>
      <c r="P24" s="22">
        <f>DataExtract!Y24-DataExtract!Y23</f>
        <v>0</v>
      </c>
      <c r="Q24" s="36">
        <f t="shared" si="4"/>
        <v>0.33296485730639258</v>
      </c>
      <c r="R24" s="36">
        <f t="shared" si="5"/>
        <v>0.48662740326722359</v>
      </c>
      <c r="S24" s="36">
        <f t="shared" si="6"/>
        <v>0.1804077394263838</v>
      </c>
      <c r="T24" s="36">
        <f t="shared" si="7"/>
        <v>0</v>
      </c>
      <c r="U24" s="36">
        <f t="shared" si="8"/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</row>
    <row r="25" spans="1:26" x14ac:dyDescent="0.25">
      <c r="A25" s="25">
        <v>44417</v>
      </c>
      <c r="B25" s="22">
        <f t="shared" si="0"/>
        <v>7</v>
      </c>
      <c r="C25" s="22">
        <f>DataExtract!B25-DataExtract!B24</f>
        <v>2972285</v>
      </c>
      <c r="D25" s="22">
        <f>DataExtract!C25-DataExtract!C24</f>
        <v>2129266</v>
      </c>
      <c r="E25" s="22">
        <f>DataExtract!D25-DataExtract!D24</f>
        <v>574997</v>
      </c>
      <c r="F25" s="22">
        <f>DataExtract!E25-DataExtract!E24</f>
        <v>268022</v>
      </c>
      <c r="G25" s="22">
        <f>(DataExtract!K25+DataExtract!P25)-(DataExtract!K24+DataExtract!P24)</f>
        <v>1407307</v>
      </c>
      <c r="H25" s="22">
        <f>(DataExtract!L25+DataExtract!Q25)-(DataExtract!L24+DataExtract!Q24)</f>
        <v>817267</v>
      </c>
      <c r="I25" s="22">
        <f>(DataExtract!M25+DataExtract!R25)-(DataExtract!M24+DataExtract!R24)</f>
        <v>432848</v>
      </c>
      <c r="J25" s="22">
        <f>(DataExtract!N25+DataExtract!S25)-(DataExtract!N24+DataExtract!S24)</f>
        <v>46841</v>
      </c>
      <c r="K25" s="22">
        <f>(DataExtract!O25+DataExtract!T25)-(DataExtract!O24+DataExtract!T24)</f>
        <v>0</v>
      </c>
      <c r="L25" s="22">
        <f>DataExtract!U25-DataExtract!U24</f>
        <v>0</v>
      </c>
      <c r="M25" s="22">
        <f>DataExtract!V25-DataExtract!V24</f>
        <v>185029</v>
      </c>
      <c r="N25" s="22">
        <f>DataExtract!W25-DataExtract!W24</f>
        <v>0</v>
      </c>
      <c r="O25" s="22">
        <f>DataExtract!X25-DataExtract!X24</f>
        <v>82993</v>
      </c>
      <c r="P25" s="22">
        <f>DataExtract!Y25-DataExtract!Y24</f>
        <v>0</v>
      </c>
      <c r="Q25" s="36">
        <f t="shared" si="4"/>
        <v>0.52040315605397847</v>
      </c>
      <c r="R25" s="36">
        <f t="shared" si="5"/>
        <v>0.30221431865169918</v>
      </c>
      <c r="S25" s="36">
        <f t="shared" si="6"/>
        <v>0.16006135497915699</v>
      </c>
      <c r="T25" s="36">
        <f t="shared" si="7"/>
        <v>1.7321170315165352E-2</v>
      </c>
      <c r="U25" s="36">
        <f t="shared" si="8"/>
        <v>0</v>
      </c>
      <c r="V25" s="34">
        <f t="shared" ref="V25:V67" si="9">L25/SUM($L25:$P25)</f>
        <v>0</v>
      </c>
      <c r="W25" s="34">
        <f t="shared" ref="W25:W67" si="10">M25/SUM($L25:$P25)</f>
        <v>0.69035004589175519</v>
      </c>
      <c r="X25" s="34">
        <f t="shared" ref="X25:X67" si="11">N25/SUM($L25:$P25)</f>
        <v>0</v>
      </c>
      <c r="Y25" s="34">
        <f t="shared" ref="Y25:Y67" si="12">O25/SUM($L25:$P25)</f>
        <v>0.30964995410824486</v>
      </c>
      <c r="Z25" s="34">
        <f t="shared" ref="Z25:Z67" si="13">P25/SUM($L25:$P25)</f>
        <v>0</v>
      </c>
    </row>
    <row r="26" spans="1:26" x14ac:dyDescent="0.25">
      <c r="A26" s="25">
        <v>44424</v>
      </c>
      <c r="B26" s="22">
        <f t="shared" si="0"/>
        <v>7</v>
      </c>
      <c r="C26" s="22">
        <f>DataExtract!B26-DataExtract!B25</f>
        <v>2929521</v>
      </c>
      <c r="D26" s="22">
        <f>DataExtract!C26-DataExtract!C25</f>
        <v>2034254</v>
      </c>
      <c r="E26" s="22">
        <f>DataExtract!D26-DataExtract!D25</f>
        <v>661812</v>
      </c>
      <c r="F26" s="22">
        <f>DataExtract!E26-DataExtract!E25</f>
        <v>233455</v>
      </c>
      <c r="G26" s="22">
        <f>(DataExtract!K26+DataExtract!P26)-(DataExtract!K25+DataExtract!P25)</f>
        <v>1130318</v>
      </c>
      <c r="H26" s="22">
        <f>(DataExtract!L26+DataExtract!Q26)-(DataExtract!L25+DataExtract!Q25)</f>
        <v>1012395</v>
      </c>
      <c r="I26" s="22">
        <f>(DataExtract!M26+DataExtract!R26)-(DataExtract!M25+DataExtract!R25)</f>
        <v>495094</v>
      </c>
      <c r="J26" s="22">
        <f>(DataExtract!N26+DataExtract!S26)-(DataExtract!N25+DataExtract!S25)</f>
        <v>58259</v>
      </c>
      <c r="K26" s="22">
        <f>(DataExtract!O26+DataExtract!T26)-(DataExtract!O25+DataExtract!T25)</f>
        <v>0</v>
      </c>
      <c r="L26" s="22">
        <f>DataExtract!U26-DataExtract!U25</f>
        <v>0</v>
      </c>
      <c r="M26" s="22">
        <f>DataExtract!V26-DataExtract!V25</f>
        <v>12482</v>
      </c>
      <c r="N26" s="22">
        <f>DataExtract!W26-DataExtract!W25</f>
        <v>0</v>
      </c>
      <c r="O26" s="22">
        <f>DataExtract!X26-DataExtract!X25</f>
        <v>220973</v>
      </c>
      <c r="P26" s="22">
        <f>DataExtract!Y26-DataExtract!Y25</f>
        <v>0</v>
      </c>
      <c r="Q26" s="36">
        <f t="shared" si="4"/>
        <v>0.41924715492869979</v>
      </c>
      <c r="R26" s="36">
        <f t="shared" si="5"/>
        <v>0.37550824052526904</v>
      </c>
      <c r="S26" s="36">
        <f t="shared" si="6"/>
        <v>0.18363571218212016</v>
      </c>
      <c r="T26" s="36">
        <f t="shared" si="7"/>
        <v>2.1608892363910972E-2</v>
      </c>
      <c r="U26" s="36">
        <f t="shared" si="8"/>
        <v>0</v>
      </c>
      <c r="V26" s="34">
        <f t="shared" si="9"/>
        <v>0</v>
      </c>
      <c r="W26" s="34">
        <f t="shared" si="10"/>
        <v>5.3466406802167445E-2</v>
      </c>
      <c r="X26" s="34">
        <f t="shared" si="11"/>
        <v>0</v>
      </c>
      <c r="Y26" s="34">
        <f t="shared" si="12"/>
        <v>0.94653359319783259</v>
      </c>
      <c r="Z26" s="34">
        <f t="shared" si="13"/>
        <v>0</v>
      </c>
    </row>
    <row r="27" spans="1:26" x14ac:dyDescent="0.25">
      <c r="A27" s="25">
        <v>44431</v>
      </c>
      <c r="B27" s="22">
        <f t="shared" si="0"/>
        <v>7</v>
      </c>
      <c r="C27" s="22">
        <f>DataExtract!B27-DataExtract!B26</f>
        <v>3511814</v>
      </c>
      <c r="D27" s="22">
        <f>DataExtract!C27-DataExtract!C26</f>
        <v>2459676</v>
      </c>
      <c r="E27" s="22">
        <f>DataExtract!D27-DataExtract!D26</f>
        <v>1002354</v>
      </c>
      <c r="F27" s="22">
        <f>DataExtract!E27-DataExtract!E26</f>
        <v>49784</v>
      </c>
      <c r="G27" s="22">
        <f>(DataExtract!K27+DataExtract!P27)-(DataExtract!K26+DataExtract!P26)</f>
        <v>1375369</v>
      </c>
      <c r="H27" s="22">
        <f>(DataExtract!L27+DataExtract!Q27)-(DataExtract!L26+DataExtract!Q26)</f>
        <v>1290098</v>
      </c>
      <c r="I27" s="22">
        <f>(DataExtract!M27+DataExtract!R27)-(DataExtract!M26+DataExtract!R26)</f>
        <v>687032</v>
      </c>
      <c r="J27" s="22">
        <f>(DataExtract!N27+DataExtract!S27)-(DataExtract!N26+DataExtract!S26)</f>
        <v>109531</v>
      </c>
      <c r="K27" s="22">
        <f>(DataExtract!O27+DataExtract!T27)-(DataExtract!O26+DataExtract!T26)</f>
        <v>0</v>
      </c>
      <c r="L27" s="22">
        <f>DataExtract!U27-DataExtract!U26</f>
        <v>0</v>
      </c>
      <c r="M27" s="22">
        <f>DataExtract!V27-DataExtract!V26</f>
        <v>6617</v>
      </c>
      <c r="N27" s="22">
        <f>DataExtract!W27-DataExtract!W26</f>
        <v>0</v>
      </c>
      <c r="O27" s="22">
        <f>DataExtract!X27-DataExtract!X26</f>
        <v>43167</v>
      </c>
      <c r="P27" s="22">
        <f>DataExtract!Y27-DataExtract!Y26</f>
        <v>0</v>
      </c>
      <c r="Q27" s="36">
        <f t="shared" si="4"/>
        <v>0.39727240954006754</v>
      </c>
      <c r="R27" s="36">
        <f t="shared" si="5"/>
        <v>0.37264206260488786</v>
      </c>
      <c r="S27" s="36">
        <f t="shared" si="6"/>
        <v>0.19844773153323339</v>
      </c>
      <c r="T27" s="36">
        <f t="shared" si="7"/>
        <v>3.1637796321811192E-2</v>
      </c>
      <c r="U27" s="36">
        <f t="shared" si="8"/>
        <v>0</v>
      </c>
      <c r="V27" s="34">
        <f t="shared" si="9"/>
        <v>0</v>
      </c>
      <c r="W27" s="34">
        <f t="shared" si="10"/>
        <v>0.13291418929776636</v>
      </c>
      <c r="X27" s="34">
        <f t="shared" si="11"/>
        <v>0</v>
      </c>
      <c r="Y27" s="34">
        <f t="shared" si="12"/>
        <v>0.86708581070223367</v>
      </c>
      <c r="Z27" s="34">
        <f t="shared" si="13"/>
        <v>0</v>
      </c>
    </row>
    <row r="28" spans="1:26" x14ac:dyDescent="0.25">
      <c r="A28" s="25">
        <v>44438</v>
      </c>
      <c r="B28" s="22">
        <f t="shared" si="0"/>
        <v>7</v>
      </c>
      <c r="C28" s="22">
        <f>DataExtract!B28-DataExtract!B27</f>
        <v>4159374</v>
      </c>
      <c r="D28" s="22">
        <f>DataExtract!C28-DataExtract!C27</f>
        <v>2570792</v>
      </c>
      <c r="E28" s="22">
        <f>DataExtract!D28-DataExtract!D27</f>
        <v>1550462</v>
      </c>
      <c r="F28" s="22">
        <f>DataExtract!E28-DataExtract!E27</f>
        <v>38120</v>
      </c>
      <c r="G28" s="22">
        <f>(DataExtract!K28+DataExtract!P28)-(DataExtract!K27+DataExtract!P27)</f>
        <v>1453487</v>
      </c>
      <c r="H28" s="22">
        <f>(DataExtract!L28+DataExtract!Q28)-(DataExtract!L27+DataExtract!Q27)</f>
        <v>1677718</v>
      </c>
      <c r="I28" s="22">
        <f>(DataExtract!M28+DataExtract!R28)-(DataExtract!M27+DataExtract!R27)</f>
        <v>827603</v>
      </c>
      <c r="J28" s="22">
        <f>(DataExtract!N28+DataExtract!S28)-(DataExtract!N27+DataExtract!S27)</f>
        <v>162446</v>
      </c>
      <c r="K28" s="22">
        <f>(DataExtract!O28+DataExtract!T28)-(DataExtract!O27+DataExtract!T27)</f>
        <v>0</v>
      </c>
      <c r="L28" s="22">
        <f>DataExtract!U28-DataExtract!U27</f>
        <v>0</v>
      </c>
      <c r="M28" s="22">
        <f>DataExtract!V28-DataExtract!V27</f>
        <v>5027</v>
      </c>
      <c r="N28" s="22">
        <f>DataExtract!W28-DataExtract!W27</f>
        <v>0</v>
      </c>
      <c r="O28" s="22">
        <f>DataExtract!X28-DataExtract!X27</f>
        <v>33093</v>
      </c>
      <c r="P28" s="22">
        <f>DataExtract!Y28-DataExtract!Y27</f>
        <v>0</v>
      </c>
      <c r="Q28" s="36">
        <f t="shared" si="4"/>
        <v>0.35268076172931828</v>
      </c>
      <c r="R28" s="36">
        <f t="shared" si="5"/>
        <v>0.40708920149061428</v>
      </c>
      <c r="S28" s="36">
        <f t="shared" si="6"/>
        <v>0.20081339320507788</v>
      </c>
      <c r="T28" s="36">
        <f t="shared" si="7"/>
        <v>3.9416643574989557E-2</v>
      </c>
      <c r="U28" s="36">
        <f t="shared" si="8"/>
        <v>0</v>
      </c>
      <c r="V28" s="34">
        <f t="shared" si="9"/>
        <v>0</v>
      </c>
      <c r="W28" s="34">
        <f t="shared" si="10"/>
        <v>0.13187303252885624</v>
      </c>
      <c r="X28" s="34">
        <f t="shared" si="11"/>
        <v>0</v>
      </c>
      <c r="Y28" s="34">
        <f t="shared" si="12"/>
        <v>0.86812696747114371</v>
      </c>
      <c r="Z28" s="34">
        <f t="shared" si="13"/>
        <v>0</v>
      </c>
    </row>
    <row r="29" spans="1:26" x14ac:dyDescent="0.25">
      <c r="A29" s="25">
        <v>44445</v>
      </c>
      <c r="B29" s="22">
        <f t="shared" si="0"/>
        <v>7</v>
      </c>
      <c r="C29" s="22">
        <f>DataExtract!B29-DataExtract!B28</f>
        <v>4863452</v>
      </c>
      <c r="D29" s="22">
        <f>DataExtract!C29-DataExtract!C28</f>
        <v>2152991</v>
      </c>
      <c r="E29" s="22">
        <f>DataExtract!D29-DataExtract!D28</f>
        <v>2694352</v>
      </c>
      <c r="F29" s="22">
        <f>DataExtract!E29-DataExtract!E28</f>
        <v>16109</v>
      </c>
      <c r="G29" s="22">
        <f>(DataExtract!K29+DataExtract!P29)-(DataExtract!K28+DataExtract!P28)</f>
        <v>1274515</v>
      </c>
      <c r="H29" s="22">
        <f>(DataExtract!L29+DataExtract!Q29)-(DataExtract!L28+DataExtract!Q28)</f>
        <v>2538151</v>
      </c>
      <c r="I29" s="22">
        <f>(DataExtract!M29+DataExtract!R29)-(DataExtract!M28+DataExtract!R28)</f>
        <v>910850</v>
      </c>
      <c r="J29" s="22">
        <f>(DataExtract!N29+DataExtract!S29)-(DataExtract!N28+DataExtract!S28)</f>
        <v>123827</v>
      </c>
      <c r="K29" s="22">
        <f>(DataExtract!O29+DataExtract!T29)-(DataExtract!O28+DataExtract!T28)</f>
        <v>0</v>
      </c>
      <c r="L29" s="22">
        <f>DataExtract!U29-DataExtract!U28</f>
        <v>0</v>
      </c>
      <c r="M29" s="22">
        <f>DataExtract!V29-DataExtract!V28</f>
        <v>3540</v>
      </c>
      <c r="N29" s="22">
        <f>DataExtract!W29-DataExtract!W28</f>
        <v>0</v>
      </c>
      <c r="O29" s="22">
        <f>DataExtract!X29-DataExtract!X28</f>
        <v>12569</v>
      </c>
      <c r="P29" s="22">
        <f>DataExtract!Y29-DataExtract!Y28</f>
        <v>0</v>
      </c>
      <c r="Q29" s="36">
        <f t="shared" ref="Q29:Q85" si="14">G29/SUM($G29:$K29)</f>
        <v>0.2629306405591682</v>
      </c>
      <c r="R29" s="36">
        <f t="shared" ref="R29:R85" si="15">H29/SUM($G29:$K29)</f>
        <v>0.52361695881640724</v>
      </c>
      <c r="S29" s="36">
        <f t="shared" ref="S29:S85" si="16">I29/SUM($G29:$K29)</f>
        <v>0.18790706578841232</v>
      </c>
      <c r="T29" s="36">
        <f t="shared" ref="T29:T85" si="17">J29/SUM($G29:$K29)</f>
        <v>2.5545334836012224E-2</v>
      </c>
      <c r="U29" s="36">
        <f t="shared" ref="U29:U85" si="18">K29/SUM($G29:$K29)</f>
        <v>0</v>
      </c>
      <c r="V29" s="34">
        <f t="shared" si="9"/>
        <v>0</v>
      </c>
      <c r="W29" s="34">
        <f t="shared" si="10"/>
        <v>0.21975293314296357</v>
      </c>
      <c r="X29" s="34">
        <f t="shared" si="11"/>
        <v>0</v>
      </c>
      <c r="Y29" s="34">
        <f t="shared" si="12"/>
        <v>0.78024706685703649</v>
      </c>
      <c r="Z29" s="34">
        <f t="shared" si="13"/>
        <v>0</v>
      </c>
    </row>
    <row r="30" spans="1:26" x14ac:dyDescent="0.25">
      <c r="A30" s="25">
        <v>44452</v>
      </c>
      <c r="B30" s="22">
        <f t="shared" si="0"/>
        <v>7</v>
      </c>
      <c r="C30" s="22">
        <f>DataExtract!B30-DataExtract!B29</f>
        <v>4317754</v>
      </c>
      <c r="D30" s="22">
        <f>DataExtract!C30-DataExtract!C29</f>
        <v>1986287</v>
      </c>
      <c r="E30" s="22">
        <f>DataExtract!D30-DataExtract!D29</f>
        <v>2320382</v>
      </c>
      <c r="F30" s="22">
        <f>DataExtract!E30-DataExtract!E29</f>
        <v>11085</v>
      </c>
      <c r="G30" s="22">
        <f>(DataExtract!K30+DataExtract!P30)-(DataExtract!K29+DataExtract!P29)</f>
        <v>1300952</v>
      </c>
      <c r="H30" s="22">
        <f>(DataExtract!L30+DataExtract!Q30)-(DataExtract!L29+DataExtract!Q29)</f>
        <v>1912713</v>
      </c>
      <c r="I30" s="22">
        <f>(DataExtract!M30+DataExtract!R30)-(DataExtract!M29+DataExtract!R29)</f>
        <v>933238</v>
      </c>
      <c r="J30" s="22">
        <f>(DataExtract!N30+DataExtract!S30)-(DataExtract!N29+DataExtract!S29)</f>
        <v>159766</v>
      </c>
      <c r="K30" s="22">
        <f>(DataExtract!O30+DataExtract!T30)-(DataExtract!O29+DataExtract!T29)</f>
        <v>0</v>
      </c>
      <c r="L30" s="22">
        <f>DataExtract!U30-DataExtract!U29</f>
        <v>0</v>
      </c>
      <c r="M30" s="22">
        <f>DataExtract!V30-DataExtract!V29</f>
        <v>4558</v>
      </c>
      <c r="N30" s="22">
        <f>DataExtract!W30-DataExtract!W29</f>
        <v>0</v>
      </c>
      <c r="O30" s="22">
        <f>DataExtract!X30-DataExtract!X29</f>
        <v>6527</v>
      </c>
      <c r="P30" s="22">
        <f>DataExtract!Y30-DataExtract!Y29</f>
        <v>0</v>
      </c>
      <c r="Q30" s="36">
        <f t="shared" si="14"/>
        <v>0.3020784741060899</v>
      </c>
      <c r="R30" s="36">
        <f t="shared" si="15"/>
        <v>0.44412816494604068</v>
      </c>
      <c r="S30" s="36">
        <f t="shared" si="16"/>
        <v>0.21669601262599936</v>
      </c>
      <c r="T30" s="36">
        <f t="shared" si="17"/>
        <v>3.7097348321870102E-2</v>
      </c>
      <c r="U30" s="36">
        <f t="shared" si="18"/>
        <v>0</v>
      </c>
      <c r="V30" s="34">
        <f t="shared" si="9"/>
        <v>0</v>
      </c>
      <c r="W30" s="34">
        <f t="shared" si="10"/>
        <v>0.41118628777627425</v>
      </c>
      <c r="X30" s="34">
        <f t="shared" si="11"/>
        <v>0</v>
      </c>
      <c r="Y30" s="34">
        <f t="shared" si="12"/>
        <v>0.5888137122237258</v>
      </c>
      <c r="Z30" s="34">
        <f t="shared" si="13"/>
        <v>0</v>
      </c>
    </row>
    <row r="31" spans="1:26" x14ac:dyDescent="0.25">
      <c r="A31" s="25">
        <v>44459</v>
      </c>
      <c r="B31" s="22">
        <f t="shared" si="0"/>
        <v>7</v>
      </c>
      <c r="C31" s="22">
        <f>DataExtract!B31-DataExtract!B30</f>
        <v>4258076</v>
      </c>
      <c r="D31" s="22">
        <f>DataExtract!C31-DataExtract!C30</f>
        <v>1660334</v>
      </c>
      <c r="E31" s="22">
        <f>DataExtract!D31-DataExtract!D30</f>
        <v>2592364</v>
      </c>
      <c r="F31" s="22">
        <f>DataExtract!E31-DataExtract!E30</f>
        <v>5378</v>
      </c>
      <c r="G31" s="22">
        <f>(DataExtract!K31+DataExtract!P31)-(DataExtract!K30+DataExtract!P30)</f>
        <v>1015919</v>
      </c>
      <c r="H31" s="22">
        <f>(DataExtract!L31+DataExtract!Q31)-(DataExtract!L30+DataExtract!Q30)</f>
        <v>1968426</v>
      </c>
      <c r="I31" s="22">
        <f>(DataExtract!M31+DataExtract!R31)-(DataExtract!M30+DataExtract!R30)</f>
        <v>1094714</v>
      </c>
      <c r="J31" s="22">
        <f>(DataExtract!N31+DataExtract!S31)-(DataExtract!N30+DataExtract!S30)</f>
        <v>173639</v>
      </c>
      <c r="K31" s="22">
        <f>(DataExtract!O31+DataExtract!T31)-(DataExtract!O30+DataExtract!T30)</f>
        <v>0</v>
      </c>
      <c r="L31" s="22">
        <f>DataExtract!U31-DataExtract!U30</f>
        <v>0</v>
      </c>
      <c r="M31" s="22">
        <f>DataExtract!V31-DataExtract!V30</f>
        <v>1958</v>
      </c>
      <c r="N31" s="22">
        <f>DataExtract!W31-DataExtract!W30</f>
        <v>0</v>
      </c>
      <c r="O31" s="22">
        <f>DataExtract!X31-DataExtract!X30</f>
        <v>3420</v>
      </c>
      <c r="P31" s="22">
        <f>DataExtract!Y31-DataExtract!Y30</f>
        <v>0</v>
      </c>
      <c r="Q31" s="36">
        <f t="shared" si="14"/>
        <v>0.23888811291090972</v>
      </c>
      <c r="R31" s="36">
        <f t="shared" si="15"/>
        <v>0.46286522109023498</v>
      </c>
      <c r="S31" s="36">
        <f t="shared" si="16"/>
        <v>0.2574163507495712</v>
      </c>
      <c r="T31" s="36">
        <f t="shared" si="17"/>
        <v>4.0830315249284099E-2</v>
      </c>
      <c r="U31" s="36">
        <f t="shared" si="18"/>
        <v>0</v>
      </c>
      <c r="V31" s="34">
        <f t="shared" si="9"/>
        <v>0</v>
      </c>
      <c r="W31" s="34">
        <f t="shared" si="10"/>
        <v>0.36407586463369285</v>
      </c>
      <c r="X31" s="34">
        <f t="shared" si="11"/>
        <v>0</v>
      </c>
      <c r="Y31" s="34">
        <f t="shared" si="12"/>
        <v>0.63592413536630721</v>
      </c>
      <c r="Z31" s="34">
        <f t="shared" si="13"/>
        <v>0</v>
      </c>
    </row>
    <row r="32" spans="1:26" x14ac:dyDescent="0.25">
      <c r="A32" s="25">
        <v>44473</v>
      </c>
      <c r="B32" s="22">
        <f t="shared" si="0"/>
        <v>14</v>
      </c>
      <c r="C32" s="22">
        <f>DataExtract!B32-DataExtract!B31</f>
        <v>10710342</v>
      </c>
      <c r="D32" s="22">
        <f>DataExtract!C32-DataExtract!C31</f>
        <v>4042448</v>
      </c>
      <c r="E32" s="22">
        <f>DataExtract!D32-DataExtract!D31</f>
        <v>5774180</v>
      </c>
      <c r="F32" s="22">
        <f>DataExtract!E32-DataExtract!E31</f>
        <v>893714</v>
      </c>
      <c r="G32" s="22">
        <f>(DataExtract!K32+DataExtract!P32)-(DataExtract!K31+DataExtract!P31)</f>
        <v>2455336</v>
      </c>
      <c r="H32" s="22">
        <f>(DataExtract!L32+DataExtract!Q32)-(DataExtract!L31+DataExtract!Q31)</f>
        <v>4715606</v>
      </c>
      <c r="I32" s="22">
        <f>(DataExtract!M32+DataExtract!R32)-(DataExtract!M31+DataExtract!R31)</f>
        <v>2503657</v>
      </c>
      <c r="J32" s="22">
        <f>(DataExtract!N32+DataExtract!S32)-(DataExtract!N31+DataExtract!S31)</f>
        <v>142029</v>
      </c>
      <c r="K32" s="22">
        <f>(DataExtract!O32+DataExtract!T32)-(DataExtract!O31+DataExtract!T31)</f>
        <v>0</v>
      </c>
      <c r="L32" s="22">
        <f>DataExtract!U32-DataExtract!U31</f>
        <v>0</v>
      </c>
      <c r="M32" s="22">
        <f>DataExtract!V32-DataExtract!V31</f>
        <v>810175</v>
      </c>
      <c r="N32" s="22">
        <f>DataExtract!W32-DataExtract!W31</f>
        <v>0</v>
      </c>
      <c r="O32" s="22">
        <f>DataExtract!X32-DataExtract!X31</f>
        <v>83539</v>
      </c>
      <c r="P32" s="22">
        <f>DataExtract!Y32-DataExtract!Y31</f>
        <v>0</v>
      </c>
      <c r="Q32" s="36">
        <f t="shared" si="14"/>
        <v>0.2501201023406408</v>
      </c>
      <c r="R32" s="36">
        <f t="shared" si="15"/>
        <v>0.48036922658167347</v>
      </c>
      <c r="S32" s="36">
        <f t="shared" si="16"/>
        <v>0.25504246468339231</v>
      </c>
      <c r="T32" s="36">
        <f t="shared" si="17"/>
        <v>1.4468206394293437E-2</v>
      </c>
      <c r="U32" s="36">
        <f t="shared" si="18"/>
        <v>0</v>
      </c>
      <c r="V32" s="34">
        <f t="shared" si="9"/>
        <v>0</v>
      </c>
      <c r="W32" s="34">
        <f t="shared" si="10"/>
        <v>0.90652602510422797</v>
      </c>
      <c r="X32" s="34">
        <f t="shared" si="11"/>
        <v>0</v>
      </c>
      <c r="Y32" s="34">
        <f t="shared" si="12"/>
        <v>9.3473974895772027E-2</v>
      </c>
      <c r="Z32" s="34">
        <f t="shared" si="13"/>
        <v>0</v>
      </c>
    </row>
    <row r="33" spans="1:26" x14ac:dyDescent="0.25">
      <c r="A33" s="25">
        <v>44480</v>
      </c>
      <c r="B33" s="22">
        <f t="shared" si="0"/>
        <v>7</v>
      </c>
      <c r="C33" s="22">
        <f>DataExtract!B33-DataExtract!B32</f>
        <v>5111808</v>
      </c>
      <c r="D33" s="22">
        <f>DataExtract!C33-DataExtract!C32</f>
        <v>2218645</v>
      </c>
      <c r="E33" s="22">
        <f>DataExtract!D33-DataExtract!D32</f>
        <v>2634246</v>
      </c>
      <c r="F33" s="22">
        <f>DataExtract!E33-DataExtract!E32</f>
        <v>258917</v>
      </c>
      <c r="G33" s="22">
        <f>(DataExtract!K33+DataExtract!P33)-(DataExtract!K32+DataExtract!P32)</f>
        <v>902828</v>
      </c>
      <c r="H33" s="22">
        <f>(DataExtract!L33+DataExtract!Q33)-(DataExtract!L32+DataExtract!Q32)</f>
        <v>2049735</v>
      </c>
      <c r="I33" s="22">
        <f>(DataExtract!M33+DataExtract!R33)-(DataExtract!M32+DataExtract!R32)</f>
        <v>1029723</v>
      </c>
      <c r="J33" s="22">
        <f>(DataExtract!N33+DataExtract!S33)-(DataExtract!N32+DataExtract!S32)</f>
        <v>870605</v>
      </c>
      <c r="K33" s="22">
        <f>(DataExtract!O33+DataExtract!T33)-(DataExtract!O32+DataExtract!T32)</f>
        <v>0</v>
      </c>
      <c r="L33" s="22">
        <f>DataExtract!U33-DataExtract!U32</f>
        <v>0</v>
      </c>
      <c r="M33" s="22">
        <f>DataExtract!V33-DataExtract!V32</f>
        <v>253319</v>
      </c>
      <c r="N33" s="22">
        <f>DataExtract!W33-DataExtract!W32</f>
        <v>0</v>
      </c>
      <c r="O33" s="22">
        <f>DataExtract!X33-DataExtract!X32</f>
        <v>5598</v>
      </c>
      <c r="P33" s="22">
        <f>DataExtract!Y33-DataExtract!Y32</f>
        <v>0</v>
      </c>
      <c r="Q33" s="36">
        <f t="shared" si="14"/>
        <v>0.18603920838114849</v>
      </c>
      <c r="R33" s="36">
        <f t="shared" si="15"/>
        <v>0.42237400345484782</v>
      </c>
      <c r="S33" s="36">
        <f t="shared" si="16"/>
        <v>0.21218753934510379</v>
      </c>
      <c r="T33" s="36">
        <f t="shared" si="17"/>
        <v>0.1793992488188999</v>
      </c>
      <c r="U33" s="36">
        <f t="shared" si="18"/>
        <v>0</v>
      </c>
      <c r="V33" s="34">
        <f t="shared" si="9"/>
        <v>0</v>
      </c>
      <c r="W33" s="34">
        <f t="shared" si="10"/>
        <v>0.97837917170367339</v>
      </c>
      <c r="X33" s="34">
        <f t="shared" si="11"/>
        <v>0</v>
      </c>
      <c r="Y33" s="34">
        <f t="shared" si="12"/>
        <v>2.1620828296326621E-2</v>
      </c>
      <c r="Z33" s="34">
        <f t="shared" si="13"/>
        <v>0</v>
      </c>
    </row>
    <row r="34" spans="1:26" x14ac:dyDescent="0.25">
      <c r="A34" s="25">
        <v>44487</v>
      </c>
      <c r="B34" s="22">
        <f t="shared" si="0"/>
        <v>7</v>
      </c>
      <c r="C34" s="22">
        <f>DataExtract!B34-DataExtract!B33</f>
        <v>5559070</v>
      </c>
      <c r="D34" s="22">
        <f>DataExtract!C34-DataExtract!C33</f>
        <v>2674926</v>
      </c>
      <c r="E34" s="22">
        <f>DataExtract!D34-DataExtract!D33</f>
        <v>2678025</v>
      </c>
      <c r="F34" s="22">
        <f>DataExtract!E34-DataExtract!E33</f>
        <v>206119</v>
      </c>
      <c r="G34" s="22">
        <f>(DataExtract!K34+DataExtract!P34)-(DataExtract!K33+DataExtract!P33)</f>
        <v>1089416</v>
      </c>
      <c r="H34" s="22">
        <f>(DataExtract!L34+DataExtract!Q34)-(DataExtract!L33+DataExtract!Q33)</f>
        <v>2052603</v>
      </c>
      <c r="I34" s="22">
        <f>(DataExtract!M34+DataExtract!R34)-(DataExtract!M33+DataExtract!R33)</f>
        <v>1008061</v>
      </c>
      <c r="J34" s="22">
        <f>(DataExtract!N34+DataExtract!S34)-(DataExtract!N33+DataExtract!S33)</f>
        <v>1202871</v>
      </c>
      <c r="K34" s="22">
        <f>(DataExtract!O34+DataExtract!T34)-(DataExtract!O33+DataExtract!T33)</f>
        <v>0</v>
      </c>
      <c r="L34" s="22">
        <f>DataExtract!U34-DataExtract!U33</f>
        <v>0</v>
      </c>
      <c r="M34" s="22">
        <f>DataExtract!V34-DataExtract!V33</f>
        <v>201973</v>
      </c>
      <c r="N34" s="22">
        <f>DataExtract!W34-DataExtract!W33</f>
        <v>0</v>
      </c>
      <c r="O34" s="22">
        <f>DataExtract!X34-DataExtract!X33</f>
        <v>4146</v>
      </c>
      <c r="P34" s="22">
        <f>DataExtract!Y34-DataExtract!Y33</f>
        <v>0</v>
      </c>
      <c r="Q34" s="36">
        <f t="shared" si="14"/>
        <v>0.2035169012382142</v>
      </c>
      <c r="R34" s="36">
        <f t="shared" si="15"/>
        <v>0.38345260399357289</v>
      </c>
      <c r="S34" s="36">
        <f t="shared" si="16"/>
        <v>0.1883187423161542</v>
      </c>
      <c r="T34" s="36">
        <f t="shared" si="17"/>
        <v>0.22471175245205868</v>
      </c>
      <c r="U34" s="36">
        <f t="shared" si="18"/>
        <v>0</v>
      </c>
      <c r="V34" s="34">
        <f t="shared" si="9"/>
        <v>0</v>
      </c>
      <c r="W34" s="34">
        <f t="shared" si="10"/>
        <v>0.97988540600332819</v>
      </c>
      <c r="X34" s="34">
        <f t="shared" si="11"/>
        <v>0</v>
      </c>
      <c r="Y34" s="34">
        <f t="shared" si="12"/>
        <v>2.0114593996671825E-2</v>
      </c>
      <c r="Z34" s="34">
        <f t="shared" si="13"/>
        <v>0</v>
      </c>
    </row>
    <row r="35" spans="1:26" x14ac:dyDescent="0.25">
      <c r="A35" s="25">
        <v>44494</v>
      </c>
      <c r="B35" s="22">
        <f t="shared" si="0"/>
        <v>7</v>
      </c>
      <c r="C35" s="22">
        <f>DataExtract!B35-DataExtract!B34</f>
        <v>4645199</v>
      </c>
      <c r="D35" s="22">
        <f>DataExtract!C35-DataExtract!C34</f>
        <v>2209185</v>
      </c>
      <c r="E35" s="22">
        <f>DataExtract!D35-DataExtract!D34</f>
        <v>2239382</v>
      </c>
      <c r="F35" s="22">
        <f>DataExtract!E35-DataExtract!E34</f>
        <v>196632</v>
      </c>
      <c r="G35" s="22">
        <f>(DataExtract!K35+DataExtract!P35)-(DataExtract!K34+DataExtract!P34)</f>
        <v>980006</v>
      </c>
      <c r="H35" s="22">
        <f>(DataExtract!L35+DataExtract!Q35)-(DataExtract!L34+DataExtract!Q34)</f>
        <v>1745967</v>
      </c>
      <c r="I35" s="22">
        <f>(DataExtract!M35+DataExtract!R35)-(DataExtract!M34+DataExtract!R34)</f>
        <v>763940</v>
      </c>
      <c r="J35" s="22">
        <f>(DataExtract!N35+DataExtract!S35)-(DataExtract!N34+DataExtract!S34)</f>
        <v>958654</v>
      </c>
      <c r="K35" s="22">
        <f>(DataExtract!O35+DataExtract!T35)-(DataExtract!O34+DataExtract!T34)</f>
        <v>0</v>
      </c>
      <c r="L35" s="22">
        <f>DataExtract!U35-DataExtract!U34</f>
        <v>0</v>
      </c>
      <c r="M35" s="22">
        <f>DataExtract!V35-DataExtract!V34</f>
        <v>179819</v>
      </c>
      <c r="N35" s="22">
        <f>DataExtract!W35-DataExtract!W34</f>
        <v>0</v>
      </c>
      <c r="O35" s="22">
        <f>DataExtract!X35-DataExtract!X34</f>
        <v>16813</v>
      </c>
      <c r="P35" s="22">
        <f>DataExtract!Y35-DataExtract!Y34</f>
        <v>0</v>
      </c>
      <c r="Q35" s="36">
        <f t="shared" si="14"/>
        <v>0.2202970080028018</v>
      </c>
      <c r="R35" s="36">
        <f t="shared" si="15"/>
        <v>0.39247852173520148</v>
      </c>
      <c r="S35" s="36">
        <f t="shared" si="16"/>
        <v>0.17172721013306083</v>
      </c>
      <c r="T35" s="36">
        <f t="shared" si="17"/>
        <v>0.21549726012893591</v>
      </c>
      <c r="U35" s="36">
        <f t="shared" si="18"/>
        <v>0</v>
      </c>
      <c r="V35" s="34">
        <f t="shared" si="9"/>
        <v>0</v>
      </c>
      <c r="W35" s="34">
        <f t="shared" si="10"/>
        <v>0.91449509744090485</v>
      </c>
      <c r="X35" s="34">
        <f t="shared" si="11"/>
        <v>0</v>
      </c>
      <c r="Y35" s="34">
        <f t="shared" si="12"/>
        <v>8.5504902559095167E-2</v>
      </c>
      <c r="Z35" s="34">
        <f t="shared" si="13"/>
        <v>0</v>
      </c>
    </row>
    <row r="36" spans="1:26" x14ac:dyDescent="0.25">
      <c r="A36" s="25">
        <v>44501</v>
      </c>
      <c r="B36" s="22">
        <f t="shared" si="0"/>
        <v>7</v>
      </c>
      <c r="C36" s="22">
        <f>DataExtract!B36-DataExtract!B35</f>
        <v>4988596</v>
      </c>
      <c r="D36" s="22">
        <f>DataExtract!C36-DataExtract!C35</f>
        <v>2202202</v>
      </c>
      <c r="E36" s="22">
        <f>DataExtract!D36-DataExtract!D35</f>
        <v>2530683</v>
      </c>
      <c r="F36" s="22">
        <f>DataExtract!E36-DataExtract!E35</f>
        <v>255711</v>
      </c>
      <c r="G36" s="22">
        <f>(DataExtract!K36+DataExtract!P36)-(DataExtract!K35+DataExtract!P35)</f>
        <v>1146328</v>
      </c>
      <c r="H36" s="22">
        <f>(DataExtract!L36+DataExtract!Q36)-(DataExtract!L35+DataExtract!Q35)</f>
        <v>1624268</v>
      </c>
      <c r="I36" s="22">
        <f>(DataExtract!M36+DataExtract!R36)-(DataExtract!M35+DataExtract!R35)</f>
        <v>614864</v>
      </c>
      <c r="J36" s="22">
        <f>(DataExtract!N36+DataExtract!S36)-(DataExtract!N35+DataExtract!S35)</f>
        <v>1347425</v>
      </c>
      <c r="K36" s="22">
        <f>(DataExtract!O36+DataExtract!T36)-(DataExtract!O35+DataExtract!T35)</f>
        <v>0</v>
      </c>
      <c r="L36" s="22">
        <f>DataExtract!U36-DataExtract!U35</f>
        <v>0</v>
      </c>
      <c r="M36" s="22">
        <f>DataExtract!V36-DataExtract!V35</f>
        <v>234054</v>
      </c>
      <c r="N36" s="22">
        <f>DataExtract!W36-DataExtract!W35</f>
        <v>0</v>
      </c>
      <c r="O36" s="22">
        <f>DataExtract!X36-DataExtract!X35</f>
        <v>21657</v>
      </c>
      <c r="P36" s="22">
        <f>DataExtract!Y36-DataExtract!Y35</f>
        <v>0</v>
      </c>
      <c r="Q36" s="36">
        <f t="shared" si="14"/>
        <v>0.2422049130709916</v>
      </c>
      <c r="R36" s="36">
        <f t="shared" si="15"/>
        <v>0.34318771742816484</v>
      </c>
      <c r="S36" s="36">
        <f t="shared" si="16"/>
        <v>0.12991315022444028</v>
      </c>
      <c r="T36" s="36">
        <f t="shared" si="17"/>
        <v>0.28469421927640332</v>
      </c>
      <c r="U36" s="36">
        <f t="shared" si="18"/>
        <v>0</v>
      </c>
      <c r="V36" s="34">
        <f t="shared" si="9"/>
        <v>0</v>
      </c>
      <c r="W36" s="34">
        <f t="shared" si="10"/>
        <v>0.91530673299154119</v>
      </c>
      <c r="X36" s="34">
        <f t="shared" si="11"/>
        <v>0</v>
      </c>
      <c r="Y36" s="34">
        <f t="shared" si="12"/>
        <v>8.4693267008458764E-2</v>
      </c>
      <c r="Z36" s="34">
        <f t="shared" si="13"/>
        <v>0</v>
      </c>
    </row>
    <row r="37" spans="1:26" x14ac:dyDescent="0.25">
      <c r="A37" s="25">
        <v>44508</v>
      </c>
      <c r="B37" s="22">
        <f t="shared" si="0"/>
        <v>7</v>
      </c>
      <c r="C37" s="22">
        <f>DataExtract!B37-DataExtract!B36</f>
        <v>4742691</v>
      </c>
      <c r="D37" s="22">
        <f>DataExtract!C37-DataExtract!C36</f>
        <v>1568026</v>
      </c>
      <c r="E37" s="22">
        <f>DataExtract!D37-DataExtract!D36</f>
        <v>2995768</v>
      </c>
      <c r="F37" s="22">
        <f>DataExtract!E37-DataExtract!E36</f>
        <v>178897</v>
      </c>
      <c r="G37" s="22">
        <f>(DataExtract!K37+DataExtract!P37)-(DataExtract!K36+DataExtract!P36)</f>
        <v>773416</v>
      </c>
      <c r="H37" s="22">
        <f>(DataExtract!L37+DataExtract!Q37)-(DataExtract!L36+DataExtract!Q36)</f>
        <v>1788592</v>
      </c>
      <c r="I37" s="22">
        <f>(DataExtract!M37+DataExtract!R37)-(DataExtract!M36+DataExtract!R36)</f>
        <v>585118</v>
      </c>
      <c r="J37" s="22">
        <f>(DataExtract!N37+DataExtract!S37)-(DataExtract!N36+DataExtract!S36)</f>
        <v>1416668</v>
      </c>
      <c r="K37" s="22">
        <f>(DataExtract!O37+DataExtract!T37)-(DataExtract!O36+DataExtract!T36)</f>
        <v>0</v>
      </c>
      <c r="L37" s="22">
        <f>DataExtract!U37-DataExtract!U36</f>
        <v>0</v>
      </c>
      <c r="M37" s="22">
        <f>DataExtract!V37-DataExtract!V36</f>
        <v>147083</v>
      </c>
      <c r="N37" s="22">
        <f>DataExtract!W37-DataExtract!W36</f>
        <v>0</v>
      </c>
      <c r="O37" s="22">
        <f>DataExtract!X37-DataExtract!X36</f>
        <v>31814</v>
      </c>
      <c r="P37" s="22">
        <f>DataExtract!Y37-DataExtract!Y36</f>
        <v>0</v>
      </c>
      <c r="Q37" s="36">
        <f t="shared" si="14"/>
        <v>0.16946777177059263</v>
      </c>
      <c r="R37" s="36">
        <f t="shared" si="15"/>
        <v>0.39190901254526389</v>
      </c>
      <c r="S37" s="36">
        <f t="shared" si="16"/>
        <v>0.1282086790069841</v>
      </c>
      <c r="T37" s="36">
        <f t="shared" si="17"/>
        <v>0.3104145366771594</v>
      </c>
      <c r="U37" s="36">
        <f t="shared" si="18"/>
        <v>0</v>
      </c>
      <c r="V37" s="34">
        <f t="shared" si="9"/>
        <v>0</v>
      </c>
      <c r="W37" s="34">
        <f t="shared" si="10"/>
        <v>0.82216582726373277</v>
      </c>
      <c r="X37" s="34">
        <f t="shared" si="11"/>
        <v>0</v>
      </c>
      <c r="Y37" s="34">
        <f t="shared" si="12"/>
        <v>0.17783417273626723</v>
      </c>
      <c r="Z37" s="34">
        <f t="shared" si="13"/>
        <v>0</v>
      </c>
    </row>
    <row r="38" spans="1:26" x14ac:dyDescent="0.25">
      <c r="A38" s="25">
        <v>44515</v>
      </c>
      <c r="B38" s="22">
        <f t="shared" si="0"/>
        <v>7</v>
      </c>
      <c r="C38" s="22">
        <f>DataExtract!B38-DataExtract!B37</f>
        <v>4443319</v>
      </c>
      <c r="D38" s="22">
        <f>DataExtract!C38-DataExtract!C37</f>
        <v>1372258</v>
      </c>
      <c r="E38" s="22">
        <f>DataExtract!D38-DataExtract!D37</f>
        <v>2874191</v>
      </c>
      <c r="F38" s="22">
        <f>DataExtract!E38-DataExtract!E37</f>
        <v>196870</v>
      </c>
      <c r="G38" s="22">
        <f>(DataExtract!K38+DataExtract!P38)-(DataExtract!K37+DataExtract!P37)</f>
        <v>540501</v>
      </c>
      <c r="H38" s="22">
        <f>(DataExtract!L38+DataExtract!Q38)-(DataExtract!L37+DataExtract!Q37)</f>
        <v>2058492</v>
      </c>
      <c r="I38" s="22">
        <f>(DataExtract!M38+DataExtract!R38)-(DataExtract!M37+DataExtract!R37)</f>
        <v>411992</v>
      </c>
      <c r="J38" s="22">
        <f>(DataExtract!N38+DataExtract!S38)-(DataExtract!N37+DataExtract!S37)</f>
        <v>1235464</v>
      </c>
      <c r="K38" s="22">
        <f>(DataExtract!O38+DataExtract!T38)-(DataExtract!O37+DataExtract!T37)</f>
        <v>0</v>
      </c>
      <c r="L38" s="22">
        <f>DataExtract!U38-DataExtract!U37</f>
        <v>0</v>
      </c>
      <c r="M38" s="22">
        <f>DataExtract!V38-DataExtract!V37</f>
        <v>144367</v>
      </c>
      <c r="N38" s="22">
        <f>DataExtract!W38-DataExtract!W37</f>
        <v>0</v>
      </c>
      <c r="O38" s="22">
        <f>DataExtract!X38-DataExtract!X37</f>
        <v>52503</v>
      </c>
      <c r="P38" s="22">
        <f>DataExtract!Y38-DataExtract!Y37</f>
        <v>0</v>
      </c>
      <c r="Q38" s="36">
        <f t="shared" si="14"/>
        <v>0.12728305461810563</v>
      </c>
      <c r="R38" s="36">
        <f t="shared" si="15"/>
        <v>0.48475608679157572</v>
      </c>
      <c r="S38" s="36">
        <f t="shared" si="16"/>
        <v>9.7020357479861402E-2</v>
      </c>
      <c r="T38" s="36">
        <f t="shared" si="17"/>
        <v>0.29094050111045722</v>
      </c>
      <c r="U38" s="36">
        <f t="shared" si="18"/>
        <v>0</v>
      </c>
      <c r="V38" s="34">
        <f t="shared" si="9"/>
        <v>0</v>
      </c>
      <c r="W38" s="34">
        <f t="shared" si="10"/>
        <v>0.73331132219230966</v>
      </c>
      <c r="X38" s="34">
        <f t="shared" si="11"/>
        <v>0</v>
      </c>
      <c r="Y38" s="34">
        <f t="shared" si="12"/>
        <v>0.26668867780769034</v>
      </c>
      <c r="Z38" s="34">
        <f t="shared" si="13"/>
        <v>0</v>
      </c>
    </row>
    <row r="39" spans="1:26" x14ac:dyDescent="0.25">
      <c r="A39" s="25">
        <v>44522</v>
      </c>
      <c r="B39" s="22">
        <f t="shared" si="0"/>
        <v>7</v>
      </c>
      <c r="C39" s="22">
        <f>DataExtract!B39-DataExtract!B38</f>
        <v>3924665</v>
      </c>
      <c r="D39" s="22">
        <f>DataExtract!C39-DataExtract!C38</f>
        <v>1348109</v>
      </c>
      <c r="E39" s="22">
        <f>DataExtract!D39-DataExtract!D38</f>
        <v>2289223</v>
      </c>
      <c r="F39" s="22">
        <f>DataExtract!E39-DataExtract!E38</f>
        <v>287333</v>
      </c>
      <c r="G39" s="22">
        <f>(DataExtract!K39+DataExtract!P39)-(DataExtract!K38+DataExtract!P38)</f>
        <v>268829</v>
      </c>
      <c r="H39" s="22">
        <f>(DataExtract!L39+DataExtract!Q39)-(DataExtract!L38+DataExtract!Q38)</f>
        <v>1945047</v>
      </c>
      <c r="I39" s="22">
        <f>(DataExtract!M39+DataExtract!R39)-(DataExtract!M38+DataExtract!R38)</f>
        <v>331230</v>
      </c>
      <c r="J39" s="22">
        <f>(DataExtract!N39+DataExtract!S39)-(DataExtract!N38+DataExtract!S38)</f>
        <v>921940</v>
      </c>
      <c r="K39" s="22">
        <f>(DataExtract!O39+DataExtract!T39)-(DataExtract!O38+DataExtract!T38)</f>
        <v>170286</v>
      </c>
      <c r="L39" s="22">
        <f>DataExtract!U39-DataExtract!U38</f>
        <v>0</v>
      </c>
      <c r="M39" s="22">
        <f>DataExtract!V39-DataExtract!V38</f>
        <v>124366</v>
      </c>
      <c r="N39" s="22">
        <f>DataExtract!W39-DataExtract!W38</f>
        <v>0</v>
      </c>
      <c r="O39" s="22">
        <f>DataExtract!X39-DataExtract!X38</f>
        <v>57505</v>
      </c>
      <c r="P39" s="22">
        <f>DataExtract!Y39-DataExtract!Y38</f>
        <v>105462</v>
      </c>
      <c r="Q39" s="36">
        <f t="shared" si="14"/>
        <v>7.3908293221515112E-2</v>
      </c>
      <c r="R39" s="36">
        <f t="shared" si="15"/>
        <v>0.53474552226742023</v>
      </c>
      <c r="S39" s="36">
        <f t="shared" si="16"/>
        <v>9.1063999656891367E-2</v>
      </c>
      <c r="T39" s="36">
        <f t="shared" si="17"/>
        <v>0.25346600200366642</v>
      </c>
      <c r="U39" s="36">
        <f t="shared" si="18"/>
        <v>4.6816182850506913E-2</v>
      </c>
      <c r="V39" s="34">
        <f t="shared" si="9"/>
        <v>0</v>
      </c>
      <c r="W39" s="34">
        <f t="shared" si="10"/>
        <v>0.43282880838608861</v>
      </c>
      <c r="X39" s="34">
        <f t="shared" si="11"/>
        <v>0</v>
      </c>
      <c r="Y39" s="34">
        <f t="shared" si="12"/>
        <v>0.20013364284645341</v>
      </c>
      <c r="Z39" s="34">
        <f t="shared" si="13"/>
        <v>0.36703754876745798</v>
      </c>
    </row>
    <row r="40" spans="1:26" x14ac:dyDescent="0.25">
      <c r="A40" s="25">
        <v>44529</v>
      </c>
      <c r="B40" s="22">
        <f t="shared" si="0"/>
        <v>7</v>
      </c>
      <c r="C40" s="22">
        <f>DataExtract!B40-DataExtract!B39</f>
        <v>3321599</v>
      </c>
      <c r="D40" s="22">
        <f>DataExtract!C40-DataExtract!C39</f>
        <v>1237174</v>
      </c>
      <c r="E40" s="22">
        <f>DataExtract!D40-DataExtract!D39</f>
        <v>1807008</v>
      </c>
      <c r="F40" s="22">
        <f>DataExtract!E40-DataExtract!E39</f>
        <v>277417</v>
      </c>
      <c r="G40" s="22">
        <f>(DataExtract!K40+DataExtract!P40)-(DataExtract!K39+DataExtract!P39)</f>
        <v>173343</v>
      </c>
      <c r="H40" s="22">
        <f>(DataExtract!L40+DataExtract!Q40)-(DataExtract!L39+DataExtract!Q39)</f>
        <v>1716874</v>
      </c>
      <c r="I40" s="22">
        <f>(DataExtract!M40+DataExtract!R40)-(DataExtract!M39+DataExtract!R39)</f>
        <v>249225</v>
      </c>
      <c r="J40" s="22">
        <f>(DataExtract!N40+DataExtract!S40)-(DataExtract!N39+DataExtract!S39)</f>
        <v>802798</v>
      </c>
      <c r="K40" s="22">
        <f>(DataExtract!O40+DataExtract!T40)-(DataExtract!O39+DataExtract!T39)</f>
        <v>101942</v>
      </c>
      <c r="L40" s="22">
        <f>DataExtract!U40-DataExtract!U39</f>
        <v>0</v>
      </c>
      <c r="M40" s="22">
        <f>DataExtract!V40-DataExtract!V39</f>
        <v>142853</v>
      </c>
      <c r="N40" s="22">
        <f>DataExtract!W40-DataExtract!W39</f>
        <v>0</v>
      </c>
      <c r="O40" s="22">
        <f>DataExtract!X40-DataExtract!X39</f>
        <v>74675</v>
      </c>
      <c r="P40" s="22">
        <f>DataExtract!Y40-DataExtract!Y39</f>
        <v>59889</v>
      </c>
      <c r="Q40" s="36">
        <f t="shared" si="14"/>
        <v>5.6942390435263071E-2</v>
      </c>
      <c r="R40" s="36">
        <f t="shared" si="15"/>
        <v>0.5639853333342093</v>
      </c>
      <c r="S40" s="36">
        <f t="shared" si="16"/>
        <v>8.1869283768184684E-2</v>
      </c>
      <c r="T40" s="36">
        <f t="shared" si="17"/>
        <v>0.26371550715430286</v>
      </c>
      <c r="U40" s="36">
        <f t="shared" si="18"/>
        <v>3.3487485308040056E-2</v>
      </c>
      <c r="V40" s="34">
        <f t="shared" si="9"/>
        <v>0</v>
      </c>
      <c r="W40" s="34">
        <f t="shared" si="10"/>
        <v>0.5149396035571</v>
      </c>
      <c r="X40" s="34">
        <f t="shared" si="11"/>
        <v>0</v>
      </c>
      <c r="Y40" s="34">
        <f t="shared" si="12"/>
        <v>0.26917961047808892</v>
      </c>
      <c r="Z40" s="34">
        <f t="shared" si="13"/>
        <v>0.21588078596481108</v>
      </c>
    </row>
    <row r="41" spans="1:26" x14ac:dyDescent="0.25">
      <c r="A41" s="25">
        <v>44536</v>
      </c>
      <c r="B41" s="22">
        <f t="shared" si="0"/>
        <v>7</v>
      </c>
      <c r="C41" s="22">
        <f>DataExtract!B41-DataExtract!B40</f>
        <v>2957668</v>
      </c>
      <c r="D41" s="22">
        <f>DataExtract!C41-DataExtract!C40</f>
        <v>1234890</v>
      </c>
      <c r="E41" s="22">
        <f>DataExtract!D41-DataExtract!D40</f>
        <v>1316728</v>
      </c>
      <c r="F41" s="22">
        <f>DataExtract!E41-DataExtract!E40</f>
        <v>406050</v>
      </c>
      <c r="G41" s="22">
        <f>(DataExtract!K41+DataExtract!P41)-(DataExtract!K40+DataExtract!P40)</f>
        <v>102029</v>
      </c>
      <c r="H41" s="22">
        <f>(DataExtract!L41+DataExtract!Q41)-(DataExtract!L40+DataExtract!Q40)</f>
        <v>1003272</v>
      </c>
      <c r="I41" s="22">
        <f>(DataExtract!M41+DataExtract!R41)-(DataExtract!M40+DataExtract!R40)</f>
        <v>211691</v>
      </c>
      <c r="J41" s="22">
        <f>(DataExtract!N41+DataExtract!S41)-(DataExtract!N40+DataExtract!S40)</f>
        <v>1072860</v>
      </c>
      <c r="K41" s="22">
        <f>(DataExtract!O41+DataExtract!T41)-(DataExtract!O40+DataExtract!T40)</f>
        <v>161766</v>
      </c>
      <c r="L41" s="22">
        <f>DataExtract!U41-DataExtract!U40</f>
        <v>0</v>
      </c>
      <c r="M41" s="22">
        <f>DataExtract!V41-DataExtract!V40</f>
        <v>95298</v>
      </c>
      <c r="N41" s="22">
        <f>DataExtract!W41-DataExtract!W40</f>
        <v>0</v>
      </c>
      <c r="O41" s="22">
        <f>DataExtract!X41-DataExtract!X40</f>
        <v>194203</v>
      </c>
      <c r="P41" s="22">
        <f>DataExtract!Y41-DataExtract!Y40</f>
        <v>116549</v>
      </c>
      <c r="Q41" s="36">
        <f t="shared" si="14"/>
        <v>3.9986001039340531E-2</v>
      </c>
      <c r="R41" s="36">
        <f t="shared" si="15"/>
        <v>0.39319051676230532</v>
      </c>
      <c r="S41" s="36">
        <f t="shared" si="16"/>
        <v>8.2963437317027863E-2</v>
      </c>
      <c r="T41" s="36">
        <f t="shared" si="17"/>
        <v>0.42046262410752705</v>
      </c>
      <c r="U41" s="36">
        <f t="shared" si="18"/>
        <v>6.3397420773799215E-2</v>
      </c>
      <c r="V41" s="34">
        <f t="shared" si="9"/>
        <v>0</v>
      </c>
      <c r="W41" s="34">
        <f t="shared" si="10"/>
        <v>0.23469523457702254</v>
      </c>
      <c r="X41" s="34">
        <f t="shared" si="11"/>
        <v>0</v>
      </c>
      <c r="Y41" s="34">
        <f t="shared" si="12"/>
        <v>0.47827361162418419</v>
      </c>
      <c r="Z41" s="34">
        <f t="shared" si="13"/>
        <v>0.28703115379879324</v>
      </c>
    </row>
    <row r="42" spans="1:26" x14ac:dyDescent="0.25">
      <c r="A42" s="25">
        <v>44543</v>
      </c>
      <c r="B42" s="22">
        <f t="shared" si="0"/>
        <v>7</v>
      </c>
      <c r="C42" s="22">
        <f>DataExtract!B42-DataExtract!B41</f>
        <v>2037796</v>
      </c>
      <c r="D42" s="22">
        <f>DataExtract!C42-DataExtract!C41</f>
        <v>671491</v>
      </c>
      <c r="E42" s="22">
        <f>DataExtract!D42-DataExtract!D41</f>
        <v>934476</v>
      </c>
      <c r="F42" s="22">
        <f>DataExtract!E42-DataExtract!E41</f>
        <v>431829</v>
      </c>
      <c r="G42" s="22">
        <f>(DataExtract!K42+DataExtract!P42)-(DataExtract!K41+DataExtract!P41)</f>
        <v>49540</v>
      </c>
      <c r="H42" s="22">
        <f>(DataExtract!L42+DataExtract!Q42)-(DataExtract!L41+DataExtract!Q41)</f>
        <v>454011</v>
      </c>
      <c r="I42" s="22">
        <f>(DataExtract!M42+DataExtract!R42)-(DataExtract!M41+DataExtract!R41)</f>
        <v>129454</v>
      </c>
      <c r="J42" s="22">
        <f>(DataExtract!N42+DataExtract!S42)-(DataExtract!N41+DataExtract!S41)</f>
        <v>775828</v>
      </c>
      <c r="K42" s="22">
        <f>(DataExtract!O42+DataExtract!T42)-(DataExtract!O41+DataExtract!T41)</f>
        <v>197134</v>
      </c>
      <c r="L42" s="22">
        <f>DataExtract!U42-DataExtract!U41</f>
        <v>0</v>
      </c>
      <c r="M42" s="22">
        <f>DataExtract!V42-DataExtract!V41</f>
        <v>43186</v>
      </c>
      <c r="N42" s="22">
        <f>DataExtract!W42-DataExtract!W41</f>
        <v>0</v>
      </c>
      <c r="O42" s="22">
        <f>DataExtract!X42-DataExtract!X41</f>
        <v>224690</v>
      </c>
      <c r="P42" s="22">
        <f>DataExtract!Y42-DataExtract!Y41</f>
        <v>163953</v>
      </c>
      <c r="Q42" s="36">
        <f t="shared" si="14"/>
        <v>3.0847458260350305E-2</v>
      </c>
      <c r="R42" s="36">
        <f t="shared" si="15"/>
        <v>0.28270257109890801</v>
      </c>
      <c r="S42" s="36">
        <f t="shared" si="16"/>
        <v>8.0608132047545189E-2</v>
      </c>
      <c r="T42" s="36">
        <f t="shared" si="17"/>
        <v>0.48309087297559661</v>
      </c>
      <c r="U42" s="36">
        <f t="shared" si="18"/>
        <v>0.12275096561759986</v>
      </c>
      <c r="V42" s="34">
        <f t="shared" si="9"/>
        <v>0</v>
      </c>
      <c r="W42" s="34">
        <f t="shared" si="10"/>
        <v>0.10000717876752141</v>
      </c>
      <c r="X42" s="34">
        <f t="shared" si="11"/>
        <v>0</v>
      </c>
      <c r="Y42" s="34">
        <f t="shared" si="12"/>
        <v>0.52032170141421719</v>
      </c>
      <c r="Z42" s="34">
        <f t="shared" si="13"/>
        <v>0.3796711198182614</v>
      </c>
    </row>
    <row r="43" spans="1:26" x14ac:dyDescent="0.25">
      <c r="A43" s="25">
        <v>44550</v>
      </c>
      <c r="B43" s="22">
        <f t="shared" si="0"/>
        <v>7</v>
      </c>
      <c r="C43" s="22">
        <f>DataExtract!B43-DataExtract!B42</f>
        <v>2517987</v>
      </c>
      <c r="D43" s="22">
        <f>DataExtract!C43-DataExtract!C42</f>
        <v>623713</v>
      </c>
      <c r="E43" s="22">
        <f>DataExtract!D43-DataExtract!D42</f>
        <v>1025152</v>
      </c>
      <c r="F43" s="22">
        <f>DataExtract!E43-DataExtract!E42</f>
        <v>869122</v>
      </c>
      <c r="G43" s="22">
        <f>(DataExtract!K43+DataExtract!P43)-(DataExtract!K42+DataExtract!P42)</f>
        <v>47621</v>
      </c>
      <c r="H43" s="22">
        <f>(DataExtract!L43+DataExtract!Q43)-(DataExtract!L42+DataExtract!Q42)</f>
        <v>364954</v>
      </c>
      <c r="I43" s="22">
        <f>(DataExtract!M43+DataExtract!R43)-(DataExtract!M42+DataExtract!R42)</f>
        <v>114092</v>
      </c>
      <c r="J43" s="22">
        <f>(DataExtract!N43+DataExtract!S43)-(DataExtract!N42+DataExtract!S42)</f>
        <v>932612</v>
      </c>
      <c r="K43" s="22">
        <f>(DataExtract!O43+DataExtract!T43)-(DataExtract!O42+DataExtract!T42)</f>
        <v>189586</v>
      </c>
      <c r="L43" s="22">
        <f>DataExtract!U43-DataExtract!U42</f>
        <v>0</v>
      </c>
      <c r="M43" s="22">
        <f>DataExtract!V43-DataExtract!V42</f>
        <v>83160</v>
      </c>
      <c r="N43" s="22">
        <f>DataExtract!W43-DataExtract!W42</f>
        <v>0</v>
      </c>
      <c r="O43" s="22">
        <f>DataExtract!X43-DataExtract!X42</f>
        <v>463714</v>
      </c>
      <c r="P43" s="22">
        <f>DataExtract!Y43-DataExtract!Y42</f>
        <v>322248</v>
      </c>
      <c r="Q43" s="36">
        <f t="shared" si="14"/>
        <v>2.888107880269155E-2</v>
      </c>
      <c r="R43" s="36">
        <f t="shared" si="15"/>
        <v>0.22133649510420805</v>
      </c>
      <c r="S43" s="36">
        <f t="shared" si="16"/>
        <v>6.9194263933069114E-2</v>
      </c>
      <c r="T43" s="36">
        <f t="shared" si="17"/>
        <v>0.56560846400402698</v>
      </c>
      <c r="U43" s="36">
        <f t="shared" si="18"/>
        <v>0.11497969815600428</v>
      </c>
      <c r="V43" s="34">
        <f t="shared" si="9"/>
        <v>0</v>
      </c>
      <c r="W43" s="34">
        <f t="shared" si="10"/>
        <v>9.5682769507618032E-2</v>
      </c>
      <c r="X43" s="34">
        <f t="shared" si="11"/>
        <v>0</v>
      </c>
      <c r="Y43" s="34">
        <f t="shared" si="12"/>
        <v>0.53354304689100029</v>
      </c>
      <c r="Z43" s="34">
        <f t="shared" si="13"/>
        <v>0.37077418360138165</v>
      </c>
    </row>
    <row r="44" spans="1:26" x14ac:dyDescent="0.25">
      <c r="A44" s="25">
        <v>44556</v>
      </c>
      <c r="B44" s="22">
        <f t="shared" si="0"/>
        <v>6</v>
      </c>
      <c r="C44" s="22">
        <f>DataExtract!B44-DataExtract!B43</f>
        <v>2510102</v>
      </c>
      <c r="D44" s="22">
        <f>DataExtract!C44-DataExtract!C43</f>
        <v>428505</v>
      </c>
      <c r="E44" s="22">
        <f>DataExtract!D44-DataExtract!D43</f>
        <v>935912</v>
      </c>
      <c r="F44" s="22">
        <f>DataExtract!E44-DataExtract!E43</f>
        <v>1145685</v>
      </c>
      <c r="G44" s="22">
        <f>(DataExtract!K44+DataExtract!P44)-(DataExtract!K43+DataExtract!P43)</f>
        <v>28423</v>
      </c>
      <c r="H44" s="22">
        <f>(DataExtract!L44+DataExtract!Q44)-(DataExtract!L43+DataExtract!Q43)</f>
        <v>231101</v>
      </c>
      <c r="I44" s="22">
        <f>(DataExtract!M44+DataExtract!R44)-(DataExtract!M43+DataExtract!R43)</f>
        <v>75478</v>
      </c>
      <c r="J44" s="22">
        <f>(DataExtract!N44+DataExtract!S44)-(DataExtract!N43+DataExtract!S43)</f>
        <v>881936</v>
      </c>
      <c r="K44" s="22">
        <f>(DataExtract!O44+DataExtract!T44)-(DataExtract!O43+DataExtract!T43)</f>
        <v>147479</v>
      </c>
      <c r="L44" s="22">
        <f>DataExtract!U44-DataExtract!U43</f>
        <v>0</v>
      </c>
      <c r="M44" s="22">
        <f>DataExtract!V44-DataExtract!V43</f>
        <v>123962</v>
      </c>
      <c r="N44" s="22">
        <f>DataExtract!W44-DataExtract!W43</f>
        <v>0</v>
      </c>
      <c r="O44" s="22">
        <f>DataExtract!X44-DataExtract!X43</f>
        <v>704293</v>
      </c>
      <c r="P44" s="22">
        <f>DataExtract!Y44-DataExtract!Y43</f>
        <v>317430</v>
      </c>
      <c r="Q44" s="36">
        <f t="shared" si="14"/>
        <v>2.0831607932179093E-2</v>
      </c>
      <c r="R44" s="36">
        <f t="shared" si="15"/>
        <v>0.16937710392057559</v>
      </c>
      <c r="S44" s="36">
        <f t="shared" si="16"/>
        <v>5.5318865127010293E-2</v>
      </c>
      <c r="T44" s="36">
        <f t="shared" si="17"/>
        <v>0.64638303392584529</v>
      </c>
      <c r="U44" s="36">
        <f t="shared" si="18"/>
        <v>0.10808938909438977</v>
      </c>
      <c r="V44" s="34">
        <f t="shared" si="9"/>
        <v>0</v>
      </c>
      <c r="W44" s="34">
        <f t="shared" si="10"/>
        <v>0.10819902503742303</v>
      </c>
      <c r="X44" s="34">
        <f t="shared" si="11"/>
        <v>0</v>
      </c>
      <c r="Y44" s="34">
        <f t="shared" si="12"/>
        <v>0.61473528936836919</v>
      </c>
      <c r="Z44" s="34">
        <f t="shared" si="13"/>
        <v>0.27706568559420786</v>
      </c>
    </row>
    <row r="45" spans="1:26" x14ac:dyDescent="0.25">
      <c r="A45" s="25">
        <v>44564</v>
      </c>
      <c r="B45" s="22">
        <f t="shared" si="0"/>
        <v>8</v>
      </c>
      <c r="C45" s="22">
        <f>DataExtract!B45-DataExtract!B44</f>
        <v>1842628</v>
      </c>
      <c r="D45" s="22">
        <f>DataExtract!C45-DataExtract!C44</f>
        <v>277463</v>
      </c>
      <c r="E45" s="22">
        <f>DataExtract!D45-DataExtract!D44</f>
        <v>749618</v>
      </c>
      <c r="F45" s="22">
        <f>DataExtract!E45-DataExtract!E44</f>
        <v>815547</v>
      </c>
      <c r="G45" s="22">
        <f>(DataExtract!K45+DataExtract!P45)-(DataExtract!K44+DataExtract!P44)</f>
        <v>18993</v>
      </c>
      <c r="H45" s="22">
        <f>(DataExtract!L45+DataExtract!Q45)-(DataExtract!L44+DataExtract!Q44)</f>
        <v>134614</v>
      </c>
      <c r="I45" s="22">
        <f>(DataExtract!M45+DataExtract!R45)-(DataExtract!M44+DataExtract!R44)</f>
        <v>42212</v>
      </c>
      <c r="J45" s="22">
        <f>(DataExtract!N45+DataExtract!S45)-(DataExtract!N44+DataExtract!S44)</f>
        <v>716630</v>
      </c>
      <c r="K45" s="22">
        <f>(DataExtract!O45+DataExtract!T45)-(DataExtract!O44+DataExtract!T44)</f>
        <v>114632</v>
      </c>
      <c r="L45" s="22">
        <f>DataExtract!U45-DataExtract!U44</f>
        <v>0</v>
      </c>
      <c r="M45" s="22">
        <f>DataExtract!V45-DataExtract!V44</f>
        <v>102482</v>
      </c>
      <c r="N45" s="22">
        <f>DataExtract!W45-DataExtract!W44</f>
        <v>0</v>
      </c>
      <c r="O45" s="22">
        <f>DataExtract!X45-DataExtract!X44</f>
        <v>590393</v>
      </c>
      <c r="P45" s="22">
        <f>DataExtract!Y45-DataExtract!Y44</f>
        <v>122672</v>
      </c>
      <c r="Q45" s="36">
        <f t="shared" si="14"/>
        <v>1.8492212396101184E-2</v>
      </c>
      <c r="R45" s="36">
        <f t="shared" si="15"/>
        <v>0.13106463852412809</v>
      </c>
      <c r="S45" s="36">
        <f t="shared" si="16"/>
        <v>4.1098998034234883E-2</v>
      </c>
      <c r="T45" s="36">
        <f t="shared" si="17"/>
        <v>0.69773464799757756</v>
      </c>
      <c r="U45" s="36">
        <f t="shared" si="18"/>
        <v>0.11160950304795825</v>
      </c>
      <c r="V45" s="34">
        <f t="shared" si="9"/>
        <v>0</v>
      </c>
      <c r="W45" s="34">
        <f t="shared" si="10"/>
        <v>0.12566044630168463</v>
      </c>
      <c r="X45" s="34">
        <f t="shared" si="11"/>
        <v>0</v>
      </c>
      <c r="Y45" s="34">
        <f t="shared" si="12"/>
        <v>0.72392271690043619</v>
      </c>
      <c r="Z45" s="34">
        <f t="shared" si="13"/>
        <v>0.15041683679787921</v>
      </c>
    </row>
    <row r="46" spans="1:26" x14ac:dyDescent="0.25">
      <c r="A46" s="25">
        <v>44578</v>
      </c>
      <c r="B46" s="22">
        <f t="shared" si="0"/>
        <v>14</v>
      </c>
      <c r="C46" s="22">
        <f>DataExtract!B46-DataExtract!B45</f>
        <v>5304082</v>
      </c>
      <c r="D46" s="22">
        <f>DataExtract!C46-DataExtract!C45</f>
        <v>524312</v>
      </c>
      <c r="E46" s="22">
        <f>DataExtract!D46-DataExtract!D45</f>
        <v>1464404</v>
      </c>
      <c r="F46" s="22">
        <f>DataExtract!E46-DataExtract!E45</f>
        <v>3315366</v>
      </c>
      <c r="G46" s="22">
        <f>(DataExtract!K46+DataExtract!P46)-(DataExtract!K45+DataExtract!P45)</f>
        <v>25302</v>
      </c>
      <c r="H46" s="22">
        <f>(DataExtract!L46+DataExtract!Q46)-(DataExtract!L45+DataExtract!Q45)</f>
        <v>299540</v>
      </c>
      <c r="I46" s="22">
        <f>(DataExtract!M46+DataExtract!R46)-(DataExtract!M45+DataExtract!R45)</f>
        <v>77002</v>
      </c>
      <c r="J46" s="22">
        <f>(DataExtract!N46+DataExtract!S46)-(DataExtract!N45+DataExtract!S45)</f>
        <v>1371386</v>
      </c>
      <c r="K46" s="22">
        <f>(DataExtract!O46+DataExtract!T46)-(DataExtract!O45+DataExtract!T45)</f>
        <v>215486</v>
      </c>
      <c r="L46" s="22">
        <f>DataExtract!U46-DataExtract!U45</f>
        <v>0</v>
      </c>
      <c r="M46" s="22">
        <f>DataExtract!V46-DataExtract!V45</f>
        <v>453421</v>
      </c>
      <c r="N46" s="22">
        <f>DataExtract!W46-DataExtract!W45</f>
        <v>0</v>
      </c>
      <c r="O46" s="22">
        <f>DataExtract!X46-DataExtract!X45</f>
        <v>2475841</v>
      </c>
      <c r="P46" s="22">
        <f>DataExtract!Y46-DataExtract!Y45</f>
        <v>386104</v>
      </c>
      <c r="Q46" s="36">
        <f t="shared" si="14"/>
        <v>1.2722781935681113E-2</v>
      </c>
      <c r="R46" s="36">
        <f t="shared" si="15"/>
        <v>0.15061979689407637</v>
      </c>
      <c r="S46" s="36">
        <f t="shared" si="16"/>
        <v>3.8719455166046836E-2</v>
      </c>
      <c r="T46" s="36">
        <f t="shared" si="17"/>
        <v>0.68958363084522878</v>
      </c>
      <c r="U46" s="36">
        <f t="shared" si="18"/>
        <v>0.10835433515896689</v>
      </c>
      <c r="V46" s="34">
        <f t="shared" si="9"/>
        <v>0</v>
      </c>
      <c r="W46" s="34">
        <f t="shared" si="10"/>
        <v>0.13676348252349815</v>
      </c>
      <c r="X46" s="34">
        <f t="shared" si="11"/>
        <v>0</v>
      </c>
      <c r="Y46" s="34">
        <f t="shared" si="12"/>
        <v>0.74677758051448917</v>
      </c>
      <c r="Z46" s="34">
        <f t="shared" si="13"/>
        <v>0.11645893696201264</v>
      </c>
    </row>
    <row r="47" spans="1:26" x14ac:dyDescent="0.25">
      <c r="A47" s="25">
        <v>44585</v>
      </c>
      <c r="B47" s="22">
        <f t="shared" si="0"/>
        <v>7</v>
      </c>
      <c r="C47" s="22">
        <f>DataExtract!B47-DataExtract!B46</f>
        <v>2931206</v>
      </c>
      <c r="D47" s="22">
        <f>DataExtract!C47-DataExtract!C46</f>
        <v>254090</v>
      </c>
      <c r="E47" s="22">
        <f>DataExtract!D47-DataExtract!D46</f>
        <v>570935</v>
      </c>
      <c r="F47" s="22">
        <f>DataExtract!E47-DataExtract!E46</f>
        <v>2106181</v>
      </c>
      <c r="G47" s="22">
        <f>(DataExtract!K47+DataExtract!P47)-(DataExtract!K46+DataExtract!P46)</f>
        <v>13570</v>
      </c>
      <c r="H47" s="22">
        <f>(DataExtract!L47+DataExtract!Q47)-(DataExtract!L46+DataExtract!Q46)</f>
        <v>165640</v>
      </c>
      <c r="I47" s="22">
        <f>(DataExtract!M47+DataExtract!R47)-(DataExtract!M46+DataExtract!R46)</f>
        <v>28620</v>
      </c>
      <c r="J47" s="22">
        <f>(DataExtract!N47+DataExtract!S47)-(DataExtract!N46+DataExtract!S46)</f>
        <v>516141</v>
      </c>
      <c r="K47" s="22">
        <f>(DataExtract!O47+DataExtract!T47)-(DataExtract!O46+DataExtract!T46)</f>
        <v>101054</v>
      </c>
      <c r="L47" s="22">
        <f>DataExtract!U47-DataExtract!U46</f>
        <v>0</v>
      </c>
      <c r="M47" s="22">
        <f>DataExtract!V47-DataExtract!V46</f>
        <v>378579</v>
      </c>
      <c r="N47" s="22">
        <f>DataExtract!W47-DataExtract!W46</f>
        <v>0</v>
      </c>
      <c r="O47" s="22">
        <f>DataExtract!X47-DataExtract!X46</f>
        <v>1422855</v>
      </c>
      <c r="P47" s="22">
        <f>DataExtract!Y47-DataExtract!Y46</f>
        <v>304747</v>
      </c>
      <c r="Q47" s="36">
        <f t="shared" si="14"/>
        <v>1.6447986424653799E-2</v>
      </c>
      <c r="R47" s="36">
        <f t="shared" si="15"/>
        <v>0.20076967364625314</v>
      </c>
      <c r="S47" s="36">
        <f t="shared" si="16"/>
        <v>3.4689857883094449E-2</v>
      </c>
      <c r="T47" s="36">
        <f t="shared" si="17"/>
        <v>0.62560649677282509</v>
      </c>
      <c r="U47" s="36">
        <f t="shared" si="18"/>
        <v>0.12248598527317354</v>
      </c>
      <c r="V47" s="34">
        <f t="shared" si="9"/>
        <v>0</v>
      </c>
      <c r="W47" s="34">
        <f t="shared" si="10"/>
        <v>0.17974665994992833</v>
      </c>
      <c r="X47" s="34">
        <f t="shared" si="11"/>
        <v>0</v>
      </c>
      <c r="Y47" s="34">
        <f t="shared" si="12"/>
        <v>0.67556159703273366</v>
      </c>
      <c r="Z47" s="34">
        <f t="shared" si="13"/>
        <v>0.144691743017338</v>
      </c>
    </row>
    <row r="48" spans="1:26" x14ac:dyDescent="0.25">
      <c r="A48" s="25">
        <v>44592</v>
      </c>
      <c r="B48" s="22">
        <f t="shared" si="0"/>
        <v>7</v>
      </c>
      <c r="C48" s="22">
        <f>DataExtract!B48-DataExtract!B47</f>
        <v>2496657</v>
      </c>
      <c r="D48" s="22">
        <f>DataExtract!C48-DataExtract!C47</f>
        <v>242544</v>
      </c>
      <c r="E48" s="22">
        <f>DataExtract!D48-DataExtract!D47</f>
        <v>427305</v>
      </c>
      <c r="F48" s="22">
        <f>DataExtract!E48-DataExtract!E47</f>
        <v>1826808</v>
      </c>
      <c r="G48" s="22">
        <f>(DataExtract!K48+DataExtract!P48)-(DataExtract!K47+DataExtract!P47)</f>
        <v>24964</v>
      </c>
      <c r="H48" s="22">
        <f>(DataExtract!L48+DataExtract!Q48)-(DataExtract!L47+DataExtract!Q47)</f>
        <v>164815</v>
      </c>
      <c r="I48" s="22">
        <f>(DataExtract!M48+DataExtract!R48)-(DataExtract!M47+DataExtract!R47)</f>
        <v>35204</v>
      </c>
      <c r="J48" s="22">
        <f>(DataExtract!N48+DataExtract!S48)-(DataExtract!N47+DataExtract!S47)</f>
        <v>392399</v>
      </c>
      <c r="K48" s="22">
        <f>(DataExtract!O48+DataExtract!T48)-(DataExtract!O47+DataExtract!T47)</f>
        <v>52467</v>
      </c>
      <c r="L48" s="22">
        <f>DataExtract!U48-DataExtract!U47</f>
        <v>0</v>
      </c>
      <c r="M48" s="22">
        <f>DataExtract!V48-DataExtract!V47</f>
        <v>370140</v>
      </c>
      <c r="N48" s="22">
        <f>DataExtract!W48-DataExtract!W47</f>
        <v>0</v>
      </c>
      <c r="O48" s="22">
        <f>DataExtract!X48-DataExtract!X47</f>
        <v>1225787</v>
      </c>
      <c r="P48" s="22">
        <f>DataExtract!Y48-DataExtract!Y47</f>
        <v>230881</v>
      </c>
      <c r="Q48" s="36">
        <f t="shared" si="14"/>
        <v>3.7268100721207315E-2</v>
      </c>
      <c r="R48" s="36">
        <f t="shared" si="15"/>
        <v>0.24604798992011631</v>
      </c>
      <c r="S48" s="36">
        <f t="shared" si="16"/>
        <v>5.2555128096033583E-2</v>
      </c>
      <c r="T48" s="36">
        <f t="shared" si="17"/>
        <v>0.58580217332563012</v>
      </c>
      <c r="U48" s="36">
        <f t="shared" si="18"/>
        <v>7.8326607937012668E-2</v>
      </c>
      <c r="V48" s="34">
        <f t="shared" si="9"/>
        <v>0</v>
      </c>
      <c r="W48" s="34">
        <f t="shared" si="10"/>
        <v>0.20261571002535569</v>
      </c>
      <c r="X48" s="34">
        <f t="shared" si="11"/>
        <v>0</v>
      </c>
      <c r="Y48" s="34">
        <f t="shared" si="12"/>
        <v>0.67099936063341081</v>
      </c>
      <c r="Z48" s="34">
        <f t="shared" si="13"/>
        <v>0.12638492934123347</v>
      </c>
    </row>
    <row r="49" spans="1:26" x14ac:dyDescent="0.25">
      <c r="A49" s="25">
        <v>44599</v>
      </c>
      <c r="B49" s="22">
        <f t="shared" si="0"/>
        <v>7</v>
      </c>
      <c r="C49" s="22">
        <f>DataExtract!B49-DataExtract!B48</f>
        <v>2223459</v>
      </c>
      <c r="D49" s="22">
        <f>DataExtract!C49-DataExtract!C48</f>
        <v>197537</v>
      </c>
      <c r="E49" s="22">
        <f>DataExtract!D49-DataExtract!D48</f>
        <v>334419</v>
      </c>
      <c r="F49" s="22">
        <f>DataExtract!E49-DataExtract!E48</f>
        <v>1691503</v>
      </c>
      <c r="G49" s="22">
        <f>(DataExtract!K49+DataExtract!P49)-(DataExtract!K48+DataExtract!P48)</f>
        <v>19637</v>
      </c>
      <c r="H49" s="22">
        <f>(DataExtract!L49+DataExtract!Q49)-(DataExtract!L48+DataExtract!Q48)</f>
        <v>117931</v>
      </c>
      <c r="I49" s="22">
        <f>(DataExtract!M49+DataExtract!R49)-(DataExtract!M48+DataExtract!R48)</f>
        <v>29613</v>
      </c>
      <c r="J49" s="22">
        <f>(DataExtract!N49+DataExtract!S49)-(DataExtract!N48+DataExtract!S48)</f>
        <v>333877</v>
      </c>
      <c r="K49" s="22">
        <f>(DataExtract!O49+DataExtract!T49)-(DataExtract!O48+DataExtract!T48)</f>
        <v>30898</v>
      </c>
      <c r="L49" s="22">
        <f>DataExtract!U49-DataExtract!U48</f>
        <v>0</v>
      </c>
      <c r="M49" s="22">
        <f>DataExtract!V49-DataExtract!V48</f>
        <v>235860</v>
      </c>
      <c r="N49" s="22">
        <f>DataExtract!W49-DataExtract!W48</f>
        <v>0</v>
      </c>
      <c r="O49" s="22">
        <f>DataExtract!X49-DataExtract!X48</f>
        <v>1275798</v>
      </c>
      <c r="P49" s="22">
        <f>DataExtract!Y49-DataExtract!Y48</f>
        <v>179845</v>
      </c>
      <c r="Q49" s="36">
        <f t="shared" si="14"/>
        <v>3.6914707231425155E-2</v>
      </c>
      <c r="R49" s="36">
        <f t="shared" si="15"/>
        <v>0.22169314755355707</v>
      </c>
      <c r="S49" s="36">
        <f t="shared" si="16"/>
        <v>5.5668137966297965E-2</v>
      </c>
      <c r="T49" s="36">
        <f t="shared" si="17"/>
        <v>0.62764025596101936</v>
      </c>
      <c r="U49" s="36">
        <f t="shared" si="18"/>
        <v>5.8083751287700484E-2</v>
      </c>
      <c r="V49" s="34">
        <f t="shared" si="9"/>
        <v>0</v>
      </c>
      <c r="W49" s="34">
        <f t="shared" si="10"/>
        <v>0.13943812100835765</v>
      </c>
      <c r="X49" s="34">
        <f t="shared" si="11"/>
        <v>0</v>
      </c>
      <c r="Y49" s="34">
        <f t="shared" si="12"/>
        <v>0.75423927713991634</v>
      </c>
      <c r="Z49" s="34">
        <f t="shared" si="13"/>
        <v>0.10632260185172596</v>
      </c>
    </row>
    <row r="50" spans="1:26" x14ac:dyDescent="0.25">
      <c r="A50" s="25">
        <v>44606</v>
      </c>
      <c r="B50" s="22">
        <f t="shared" si="0"/>
        <v>7</v>
      </c>
      <c r="C50" s="22">
        <f>DataExtract!B50-DataExtract!B49</f>
        <v>2737212</v>
      </c>
      <c r="D50" s="22">
        <f>DataExtract!C50-DataExtract!C49</f>
        <v>294640</v>
      </c>
      <c r="E50" s="22">
        <f>DataExtract!D50-DataExtract!D49</f>
        <v>286216</v>
      </c>
      <c r="F50" s="22">
        <f>DataExtract!E50-DataExtract!E49</f>
        <v>2156356</v>
      </c>
      <c r="G50" s="22">
        <f>(DataExtract!K50+DataExtract!P50)-(DataExtract!K49+DataExtract!P49)</f>
        <v>6408</v>
      </c>
      <c r="H50" s="22">
        <f>(DataExtract!L50+DataExtract!Q50)-(DataExtract!L49+DataExtract!Q49)</f>
        <v>104487</v>
      </c>
      <c r="I50" s="22">
        <f>(DataExtract!M50+DataExtract!R50)-(DataExtract!M49+DataExtract!R49)</f>
        <v>20033</v>
      </c>
      <c r="J50" s="22">
        <f>(DataExtract!N50+DataExtract!S50)-(DataExtract!N49+DataExtract!S49)</f>
        <v>416570</v>
      </c>
      <c r="K50" s="22">
        <f>(DataExtract!O50+DataExtract!T50)-(DataExtract!O49+DataExtract!T49)</f>
        <v>33358</v>
      </c>
      <c r="L50" s="22">
        <f>DataExtract!U50-DataExtract!U49</f>
        <v>0</v>
      </c>
      <c r="M50" s="22">
        <f>DataExtract!V50-DataExtract!V49</f>
        <v>332776</v>
      </c>
      <c r="N50" s="22">
        <f>DataExtract!W50-DataExtract!W49</f>
        <v>0</v>
      </c>
      <c r="O50" s="22">
        <f>DataExtract!X50-DataExtract!X49</f>
        <v>1318605</v>
      </c>
      <c r="P50" s="22">
        <f>DataExtract!Y50-DataExtract!Y49</f>
        <v>504975</v>
      </c>
      <c r="Q50" s="36">
        <f t="shared" si="14"/>
        <v>1.1031994160342666E-2</v>
      </c>
      <c r="R50" s="36">
        <f t="shared" si="15"/>
        <v>0.17988451526712301</v>
      </c>
      <c r="S50" s="36">
        <f t="shared" si="16"/>
        <v>3.4488754527800349E-2</v>
      </c>
      <c r="T50" s="36">
        <f t="shared" si="17"/>
        <v>0.7171657002768328</v>
      </c>
      <c r="U50" s="36">
        <f t="shared" si="18"/>
        <v>5.742903576790117E-2</v>
      </c>
      <c r="V50" s="34">
        <f t="shared" si="9"/>
        <v>0</v>
      </c>
      <c r="W50" s="34">
        <f t="shared" si="10"/>
        <v>0.15432331210616429</v>
      </c>
      <c r="X50" s="34">
        <f t="shared" si="11"/>
        <v>0</v>
      </c>
      <c r="Y50" s="34">
        <f t="shared" si="12"/>
        <v>0.61149689568883803</v>
      </c>
      <c r="Z50" s="34">
        <f t="shared" si="13"/>
        <v>0.23417979220499768</v>
      </c>
    </row>
    <row r="51" spans="1:26" x14ac:dyDescent="0.25">
      <c r="A51" s="25">
        <v>44613</v>
      </c>
      <c r="B51" s="22">
        <f t="shared" si="0"/>
        <v>7</v>
      </c>
      <c r="C51" s="22">
        <f>DataExtract!B51-DataExtract!B50</f>
        <v>1698812</v>
      </c>
      <c r="D51" s="22">
        <f>DataExtract!C51-DataExtract!C50</f>
        <v>340320</v>
      </c>
      <c r="E51" s="22">
        <f>DataExtract!D51-DataExtract!D50</f>
        <v>240929</v>
      </c>
      <c r="F51" s="22">
        <f>DataExtract!E51-DataExtract!E50</f>
        <v>1117563</v>
      </c>
      <c r="G51" s="22">
        <f>(DataExtract!K51+DataExtract!P51)-(DataExtract!K50+DataExtract!P50)</f>
        <v>7453</v>
      </c>
      <c r="H51" s="22">
        <f>(DataExtract!L51+DataExtract!Q51)-(DataExtract!L50+DataExtract!Q50)</f>
        <v>80353</v>
      </c>
      <c r="I51" s="22">
        <f>(DataExtract!M51+DataExtract!R51)-(DataExtract!M50+DataExtract!R50)</f>
        <v>14643</v>
      </c>
      <c r="J51" s="22">
        <f>(DataExtract!N51+DataExtract!S51)-(DataExtract!N50+DataExtract!S50)</f>
        <v>439556</v>
      </c>
      <c r="K51" s="22">
        <f>(DataExtract!O51+DataExtract!T51)-(DataExtract!O50+DataExtract!T50)</f>
        <v>39244</v>
      </c>
      <c r="L51" s="22">
        <f>DataExtract!U51-DataExtract!U50</f>
        <v>0</v>
      </c>
      <c r="M51" s="22">
        <f>DataExtract!V51-DataExtract!V50</f>
        <v>149060</v>
      </c>
      <c r="N51" s="22">
        <f>DataExtract!W51-DataExtract!W50</f>
        <v>0</v>
      </c>
      <c r="O51" s="22">
        <f>DataExtract!X51-DataExtract!X50</f>
        <v>783623</v>
      </c>
      <c r="P51" s="22">
        <f>DataExtract!Y51-DataExtract!Y50</f>
        <v>184880</v>
      </c>
      <c r="Q51" s="36">
        <f t="shared" si="14"/>
        <v>1.2822387651419615E-2</v>
      </c>
      <c r="R51" s="36">
        <f t="shared" si="15"/>
        <v>0.13824195826573465</v>
      </c>
      <c r="S51" s="36">
        <f t="shared" si="16"/>
        <v>2.5192301406109945E-2</v>
      </c>
      <c r="T51" s="36">
        <f t="shared" si="17"/>
        <v>0.75622667737922988</v>
      </c>
      <c r="U51" s="36">
        <f t="shared" si="18"/>
        <v>6.7516675297505893E-2</v>
      </c>
      <c r="V51" s="34">
        <f t="shared" si="9"/>
        <v>0</v>
      </c>
      <c r="W51" s="34">
        <f t="shared" si="10"/>
        <v>0.1333795052269984</v>
      </c>
      <c r="X51" s="34">
        <f t="shared" si="11"/>
        <v>0</v>
      </c>
      <c r="Y51" s="34">
        <f t="shared" si="12"/>
        <v>0.70118910522270328</v>
      </c>
      <c r="Z51" s="34">
        <f t="shared" si="13"/>
        <v>0.16543138955029829</v>
      </c>
    </row>
    <row r="52" spans="1:26" x14ac:dyDescent="0.25">
      <c r="A52" s="25">
        <v>44620</v>
      </c>
      <c r="B52" s="22">
        <f t="shared" si="0"/>
        <v>7</v>
      </c>
      <c r="C52" s="22">
        <f>DataExtract!B52-DataExtract!B51</f>
        <v>1893856</v>
      </c>
      <c r="D52" s="22">
        <f>DataExtract!C52-DataExtract!C51</f>
        <v>414469</v>
      </c>
      <c r="E52" s="22">
        <f>DataExtract!D52-DataExtract!D51</f>
        <v>242135</v>
      </c>
      <c r="F52" s="22">
        <f>DataExtract!E52-DataExtract!E51</f>
        <v>1237252</v>
      </c>
      <c r="G52" s="22">
        <f>(DataExtract!K52+DataExtract!P52)-(DataExtract!K51+DataExtract!P51)</f>
        <v>6139</v>
      </c>
      <c r="H52" s="22">
        <f>(DataExtract!L52+DataExtract!Q52)-(DataExtract!L51+DataExtract!Q51)</f>
        <v>77525</v>
      </c>
      <c r="I52" s="22">
        <f>(DataExtract!M52+DataExtract!R52)-(DataExtract!M51+DataExtract!R51)</f>
        <v>13083</v>
      </c>
      <c r="J52" s="22">
        <f>(DataExtract!N52+DataExtract!S52)-(DataExtract!N51+DataExtract!S51)</f>
        <v>524901</v>
      </c>
      <c r="K52" s="22">
        <f>(DataExtract!O52+DataExtract!T52)-(DataExtract!O51+DataExtract!T51)</f>
        <v>34956</v>
      </c>
      <c r="L52" s="22">
        <f>DataExtract!U52-DataExtract!U51</f>
        <v>6752</v>
      </c>
      <c r="M52" s="22">
        <f>DataExtract!V52-DataExtract!V51</f>
        <v>162873</v>
      </c>
      <c r="N52" s="22">
        <f>DataExtract!W52-DataExtract!W51</f>
        <v>47046</v>
      </c>
      <c r="O52" s="22">
        <f>DataExtract!X52-DataExtract!X51</f>
        <v>861165</v>
      </c>
      <c r="P52" s="22">
        <f>DataExtract!Y52-DataExtract!Y51</f>
        <v>159416</v>
      </c>
      <c r="Q52" s="36">
        <f t="shared" si="14"/>
        <v>9.3496232127736056E-3</v>
      </c>
      <c r="R52" s="36">
        <f t="shared" si="15"/>
        <v>0.11806964319437591</v>
      </c>
      <c r="S52" s="36">
        <f t="shared" si="16"/>
        <v>1.9925251749913189E-2</v>
      </c>
      <c r="T52" s="36">
        <f t="shared" si="17"/>
        <v>0.79941791399382278</v>
      </c>
      <c r="U52" s="36">
        <f t="shared" si="18"/>
        <v>5.3237567849114535E-2</v>
      </c>
      <c r="V52" s="34">
        <f t="shared" si="9"/>
        <v>5.4572552721676749E-3</v>
      </c>
      <c r="W52" s="34">
        <f t="shared" si="10"/>
        <v>0.13164092682816436</v>
      </c>
      <c r="X52" s="34">
        <f t="shared" si="11"/>
        <v>3.802458997843608E-2</v>
      </c>
      <c r="Y52" s="34">
        <f t="shared" si="12"/>
        <v>0.69603039639459063</v>
      </c>
      <c r="Z52" s="34">
        <f t="shared" si="13"/>
        <v>0.12884683152664131</v>
      </c>
    </row>
    <row r="53" spans="1:26" x14ac:dyDescent="0.25">
      <c r="A53" s="25">
        <v>44627</v>
      </c>
      <c r="B53" s="22">
        <f t="shared" si="0"/>
        <v>7</v>
      </c>
      <c r="C53" s="22">
        <f>DataExtract!B53-DataExtract!B52</f>
        <v>1226717</v>
      </c>
      <c r="D53" s="22">
        <f>DataExtract!C53-DataExtract!C52</f>
        <v>405845</v>
      </c>
      <c r="E53" s="22">
        <f>DataExtract!D53-DataExtract!D52</f>
        <v>139373</v>
      </c>
      <c r="F53" s="22">
        <f>DataExtract!E53-DataExtract!E52</f>
        <v>681499</v>
      </c>
      <c r="G53" s="22">
        <f>(DataExtract!K53+DataExtract!P53)-(DataExtract!K52+DataExtract!P52)</f>
        <v>4592</v>
      </c>
      <c r="H53" s="22">
        <f>(DataExtract!L53+DataExtract!Q53)-(DataExtract!L52+DataExtract!Q52)</f>
        <v>51301</v>
      </c>
      <c r="I53" s="22">
        <f>(DataExtract!M53+DataExtract!R53)-(DataExtract!M52+DataExtract!R52)</f>
        <v>11834</v>
      </c>
      <c r="J53" s="22">
        <f>(DataExtract!N53+DataExtract!S53)-(DataExtract!N52+DataExtract!S52)</f>
        <v>453527</v>
      </c>
      <c r="K53" s="22">
        <f>(DataExtract!O53+DataExtract!T53)-(DataExtract!O52+DataExtract!T52)</f>
        <v>23964</v>
      </c>
      <c r="L53" s="22">
        <v>0</v>
      </c>
      <c r="M53" s="22">
        <f>DataExtract!V53-DataExtract!V52</f>
        <v>103696</v>
      </c>
      <c r="N53" s="22">
        <v>0</v>
      </c>
      <c r="O53" s="22">
        <f>DataExtract!X53-DataExtract!X52</f>
        <v>496352</v>
      </c>
      <c r="P53" s="22">
        <f>DataExtract!Y53-DataExtract!Y52</f>
        <v>135249</v>
      </c>
      <c r="Q53" s="36">
        <f t="shared" si="14"/>
        <v>8.4223191457362002E-3</v>
      </c>
      <c r="R53" s="36">
        <f t="shared" si="15"/>
        <v>9.4092638174088167E-2</v>
      </c>
      <c r="S53" s="36">
        <f t="shared" si="16"/>
        <v>2.1705079436115462E-2</v>
      </c>
      <c r="T53" s="36">
        <f t="shared" si="17"/>
        <v>0.83182690226661626</v>
      </c>
      <c r="U53" s="36">
        <f t="shared" si="18"/>
        <v>4.3953060977443885E-2</v>
      </c>
      <c r="V53" s="34">
        <f t="shared" si="9"/>
        <v>0</v>
      </c>
      <c r="W53" s="34">
        <f t="shared" si="10"/>
        <v>0.14102600717805186</v>
      </c>
      <c r="X53" s="34">
        <f t="shared" si="11"/>
        <v>0</v>
      </c>
      <c r="Y53" s="34">
        <f t="shared" si="12"/>
        <v>0.67503607385859044</v>
      </c>
      <c r="Z53" s="34">
        <f t="shared" si="13"/>
        <v>0.18393791896335768</v>
      </c>
    </row>
    <row r="54" spans="1:26" x14ac:dyDescent="0.25">
      <c r="A54" s="25">
        <v>44634</v>
      </c>
      <c r="B54" s="22">
        <f t="shared" si="0"/>
        <v>7</v>
      </c>
      <c r="C54" s="22">
        <f>DataExtract!B54-DataExtract!B53</f>
        <v>1231399</v>
      </c>
      <c r="D54" s="22">
        <f>DataExtract!C54-DataExtract!C53</f>
        <v>469981</v>
      </c>
      <c r="E54" s="22">
        <f>DataExtract!D54-DataExtract!D53</f>
        <v>124470</v>
      </c>
      <c r="F54" s="22">
        <f>DataExtract!E54-DataExtract!E53</f>
        <v>636948</v>
      </c>
      <c r="G54" s="22">
        <f>(DataExtract!K54+DataExtract!P54)-(DataExtract!K53+DataExtract!P53)</f>
        <v>5222</v>
      </c>
      <c r="H54" s="22">
        <f>(DataExtract!L54+DataExtract!Q54)-(DataExtract!L53+DataExtract!Q53)</f>
        <v>45324</v>
      </c>
      <c r="I54" s="22">
        <f>(DataExtract!M54+DataExtract!R54)-(DataExtract!M53+DataExtract!R53)</f>
        <v>8879</v>
      </c>
      <c r="J54" s="22">
        <f>(DataExtract!N54+DataExtract!S54)-(DataExtract!N53+DataExtract!S53)</f>
        <v>513957</v>
      </c>
      <c r="K54" s="22">
        <f>(DataExtract!O54+DataExtract!T54)-(DataExtract!O53+DataExtract!T53)</f>
        <v>21069</v>
      </c>
      <c r="L54" s="22">
        <f>DataExtract!U54-DataExtract!U53</f>
        <v>0</v>
      </c>
      <c r="M54" s="22">
        <f>DataExtract!V54-DataExtract!V53</f>
        <v>102380</v>
      </c>
      <c r="N54" s="22">
        <f>DataExtract!W54-DataExtract!W53</f>
        <v>0</v>
      </c>
      <c r="O54" s="22">
        <f>DataExtract!X54-DataExtract!X53</f>
        <v>415040</v>
      </c>
      <c r="P54" s="22">
        <f>DataExtract!Y54-DataExtract!Y53</f>
        <v>119528</v>
      </c>
      <c r="Q54" s="36">
        <f t="shared" si="14"/>
        <v>8.7845760205635115E-3</v>
      </c>
      <c r="R54" s="36">
        <f t="shared" si="15"/>
        <v>7.6245140474151776E-2</v>
      </c>
      <c r="S54" s="36">
        <f t="shared" si="16"/>
        <v>1.4936470794060403E-2</v>
      </c>
      <c r="T54" s="36">
        <f t="shared" si="17"/>
        <v>0.86459102600550763</v>
      </c>
      <c r="U54" s="36">
        <f t="shared" si="18"/>
        <v>3.5442786705716704E-2</v>
      </c>
      <c r="V54" s="34">
        <f t="shared" si="9"/>
        <v>0</v>
      </c>
      <c r="W54" s="34">
        <f t="shared" si="10"/>
        <v>0.16073525625325771</v>
      </c>
      <c r="X54" s="34">
        <f t="shared" si="11"/>
        <v>0</v>
      </c>
      <c r="Y54" s="34">
        <f t="shared" si="12"/>
        <v>0.65160735256253255</v>
      </c>
      <c r="Z54" s="34">
        <f t="shared" si="13"/>
        <v>0.18765739118420971</v>
      </c>
    </row>
    <row r="55" spans="1:26" x14ac:dyDescent="0.25">
      <c r="A55" s="25">
        <v>44641</v>
      </c>
      <c r="B55" s="22">
        <f t="shared" si="0"/>
        <v>7</v>
      </c>
      <c r="C55" s="22">
        <f>DataExtract!B55-DataExtract!B54</f>
        <v>1220945</v>
      </c>
      <c r="D55" s="22">
        <f>DataExtract!C55-DataExtract!C54</f>
        <v>458908</v>
      </c>
      <c r="E55" s="22">
        <f>DataExtract!D55-DataExtract!D54</f>
        <v>124161</v>
      </c>
      <c r="F55" s="22">
        <f>DataExtract!E55-DataExtract!E54</f>
        <v>637876</v>
      </c>
      <c r="G55" s="22">
        <f>(DataExtract!K55+DataExtract!P55)-(DataExtract!K54+DataExtract!P54)</f>
        <v>5401</v>
      </c>
      <c r="H55" s="22">
        <f>(DataExtract!L55+DataExtract!Q55)-(DataExtract!L54+DataExtract!Q54)</f>
        <v>45559</v>
      </c>
      <c r="I55" s="22">
        <f>(DataExtract!M55+DataExtract!R55)-(DataExtract!M54+DataExtract!R54)</f>
        <v>9614</v>
      </c>
      <c r="J55" s="22">
        <f>(DataExtract!N55+DataExtract!S55)-(DataExtract!N54+DataExtract!S54)</f>
        <v>506136</v>
      </c>
      <c r="K55" s="22">
        <f>(DataExtract!O55+DataExtract!T55)-(DataExtract!O54+DataExtract!T54)</f>
        <v>16359</v>
      </c>
      <c r="L55" s="22">
        <f>DataExtract!U55-DataExtract!U54</f>
        <v>0</v>
      </c>
      <c r="M55" s="22">
        <f>DataExtract!V55-DataExtract!V54</f>
        <v>105255</v>
      </c>
      <c r="N55" s="22">
        <f>DataExtract!W55-DataExtract!W54</f>
        <v>0</v>
      </c>
      <c r="O55" s="22">
        <f>DataExtract!X55-DataExtract!X54</f>
        <v>428154</v>
      </c>
      <c r="P55" s="22">
        <f>DataExtract!Y55-DataExtract!Y54</f>
        <v>104467</v>
      </c>
      <c r="Q55" s="36">
        <f t="shared" si="14"/>
        <v>9.263054629898005E-3</v>
      </c>
      <c r="R55" s="36">
        <f t="shared" si="15"/>
        <v>7.8136549876601222E-2</v>
      </c>
      <c r="S55" s="36">
        <f t="shared" si="16"/>
        <v>1.6488614555052662E-2</v>
      </c>
      <c r="T55" s="36">
        <f t="shared" si="17"/>
        <v>0.86805506723904036</v>
      </c>
      <c r="U55" s="36">
        <f t="shared" si="18"/>
        <v>2.8056713699407789E-2</v>
      </c>
      <c r="V55" s="34">
        <f t="shared" si="9"/>
        <v>0</v>
      </c>
      <c r="W55" s="34">
        <f t="shared" si="10"/>
        <v>0.16500855965736289</v>
      </c>
      <c r="X55" s="34">
        <f t="shared" si="11"/>
        <v>0</v>
      </c>
      <c r="Y55" s="34">
        <f t="shared" si="12"/>
        <v>0.67121823050248008</v>
      </c>
      <c r="Z55" s="34">
        <f t="shared" si="13"/>
        <v>0.16377320984015703</v>
      </c>
    </row>
    <row r="56" spans="1:26" x14ac:dyDescent="0.25">
      <c r="A56" s="25">
        <v>44648</v>
      </c>
      <c r="B56" s="22">
        <f t="shared" si="0"/>
        <v>7</v>
      </c>
      <c r="C56" s="22">
        <f>DataExtract!B56-DataExtract!B55</f>
        <v>1393123</v>
      </c>
      <c r="D56" s="22">
        <f>DataExtract!C56-DataExtract!C55</f>
        <v>440281</v>
      </c>
      <c r="E56" s="22">
        <f>DataExtract!D56-DataExtract!D55</f>
        <v>130491</v>
      </c>
      <c r="F56" s="22">
        <f>DataExtract!E56-DataExtract!E55</f>
        <v>822351</v>
      </c>
      <c r="G56" s="22">
        <f>(DataExtract!K56+DataExtract!P56)-(DataExtract!K55+DataExtract!P55)</f>
        <v>2648</v>
      </c>
      <c r="H56" s="22">
        <f>(DataExtract!L56+DataExtract!Q56)-(DataExtract!L55+DataExtract!Q55)</f>
        <v>50282</v>
      </c>
      <c r="I56" s="22">
        <f>(DataExtract!M56+DataExtract!R56)-(DataExtract!M55+DataExtract!R55)</f>
        <v>9695</v>
      </c>
      <c r="J56" s="22">
        <f>(DataExtract!N56+DataExtract!S56)-(DataExtract!N55+DataExtract!S55)</f>
        <v>492805</v>
      </c>
      <c r="K56" s="22">
        <f>(DataExtract!O56+DataExtract!T56)-(DataExtract!O55+DataExtract!T55)</f>
        <v>15342</v>
      </c>
      <c r="L56" s="22">
        <f>DataExtract!U56-DataExtract!U55</f>
        <v>0</v>
      </c>
      <c r="M56" s="22">
        <f>DataExtract!V56-DataExtract!V55</f>
        <v>154033</v>
      </c>
      <c r="N56" s="22">
        <f>DataExtract!W56-DataExtract!W55</f>
        <v>0</v>
      </c>
      <c r="O56" s="22">
        <f>DataExtract!X56-DataExtract!X55</f>
        <v>549908</v>
      </c>
      <c r="P56" s="22">
        <f>DataExtract!Y56-DataExtract!Y55</f>
        <v>118410</v>
      </c>
      <c r="Q56" s="36">
        <f t="shared" si="14"/>
        <v>4.6393305908488851E-3</v>
      </c>
      <c r="R56" s="36">
        <f t="shared" si="15"/>
        <v>8.8094720834238541E-2</v>
      </c>
      <c r="S56" s="36">
        <f t="shared" si="16"/>
        <v>1.6985766645876112E-2</v>
      </c>
      <c r="T56" s="36">
        <f t="shared" si="17"/>
        <v>0.86340079751634624</v>
      </c>
      <c r="U56" s="36">
        <f t="shared" si="18"/>
        <v>2.687938441269018E-2</v>
      </c>
      <c r="V56" s="34">
        <f t="shared" si="9"/>
        <v>0</v>
      </c>
      <c r="W56" s="34">
        <f t="shared" si="10"/>
        <v>0.18730809593470429</v>
      </c>
      <c r="X56" s="34">
        <f t="shared" si="11"/>
        <v>0</v>
      </c>
      <c r="Y56" s="34">
        <f t="shared" si="12"/>
        <v>0.66870229378939161</v>
      </c>
      <c r="Z56" s="34">
        <f t="shared" si="13"/>
        <v>0.1439896102759041</v>
      </c>
    </row>
    <row r="57" spans="1:26" x14ac:dyDescent="0.25">
      <c r="A57" s="25">
        <v>44654</v>
      </c>
      <c r="B57" s="22">
        <f t="shared" si="0"/>
        <v>6</v>
      </c>
      <c r="C57" s="22">
        <f>DataExtract!B57-DataExtract!B56</f>
        <v>1257939</v>
      </c>
      <c r="D57" s="22">
        <f>DataExtract!C57-DataExtract!C56</f>
        <v>339003</v>
      </c>
      <c r="E57" s="22">
        <f>DataExtract!D57-DataExtract!D56</f>
        <v>130420</v>
      </c>
      <c r="F57" s="22">
        <f>DataExtract!E57-DataExtract!E56</f>
        <v>788516</v>
      </c>
      <c r="G57" s="22">
        <f>(DataExtract!K57+DataExtract!P57)-(DataExtract!K56+DataExtract!P56)</f>
        <v>1882</v>
      </c>
      <c r="H57" s="22">
        <f>(DataExtract!L57+DataExtract!Q57)-(DataExtract!L56+DataExtract!Q56)</f>
        <v>38497</v>
      </c>
      <c r="I57" s="22">
        <f>(DataExtract!M57+DataExtract!R57)-(DataExtract!M56+DataExtract!R56)</f>
        <v>7443</v>
      </c>
      <c r="J57" s="22">
        <f>(DataExtract!N57+DataExtract!S57)-(DataExtract!N56+DataExtract!S56)</f>
        <v>411469</v>
      </c>
      <c r="K57" s="22">
        <f>(DataExtract!O57+DataExtract!T57)-(DataExtract!O56+DataExtract!T56)</f>
        <v>10132</v>
      </c>
      <c r="L57" s="22">
        <f>DataExtract!U57-DataExtract!U56</f>
        <v>0</v>
      </c>
      <c r="M57" s="22">
        <f>DataExtract!V57-DataExtract!V56</f>
        <v>127393</v>
      </c>
      <c r="N57" s="22">
        <f>DataExtract!W57-DataExtract!W56</f>
        <v>0</v>
      </c>
      <c r="O57" s="22">
        <f>DataExtract!X57-DataExtract!X56</f>
        <v>567797</v>
      </c>
      <c r="P57" s="22">
        <f>DataExtract!Y57-DataExtract!Y56</f>
        <v>93326</v>
      </c>
      <c r="Q57" s="36">
        <f t="shared" si="14"/>
        <v>4.0091772239536621E-3</v>
      </c>
      <c r="R57" s="36">
        <f t="shared" si="15"/>
        <v>8.2009190005602625E-2</v>
      </c>
      <c r="S57" s="36">
        <f t="shared" si="16"/>
        <v>1.5855635535540442E-2</v>
      </c>
      <c r="T57" s="36">
        <f t="shared" si="17"/>
        <v>0.87654205269021757</v>
      </c>
      <c r="U57" s="36">
        <f t="shared" si="18"/>
        <v>2.158394454468571E-2</v>
      </c>
      <c r="V57" s="34">
        <f t="shared" si="9"/>
        <v>0</v>
      </c>
      <c r="W57" s="34">
        <f t="shared" si="10"/>
        <v>0.16156045026353302</v>
      </c>
      <c r="X57" s="34">
        <f t="shared" si="11"/>
        <v>0</v>
      </c>
      <c r="Y57" s="34">
        <f t="shared" si="12"/>
        <v>0.72008304206889906</v>
      </c>
      <c r="Z57" s="34">
        <f t="shared" si="13"/>
        <v>0.11835650766756793</v>
      </c>
    </row>
    <row r="58" spans="1:26" x14ac:dyDescent="0.25">
      <c r="A58" s="25">
        <v>44662</v>
      </c>
      <c r="B58" s="22">
        <f t="shared" si="0"/>
        <v>8</v>
      </c>
      <c r="C58" s="22">
        <f>DataExtract!B58-DataExtract!B57</f>
        <v>1185568</v>
      </c>
      <c r="D58" s="22">
        <f>DataExtract!C58-DataExtract!C57</f>
        <v>248083</v>
      </c>
      <c r="E58" s="22">
        <f>DataExtract!D58-DataExtract!D57</f>
        <v>222331</v>
      </c>
      <c r="F58" s="22">
        <f>DataExtract!E58-DataExtract!E57</f>
        <v>715154</v>
      </c>
      <c r="G58" s="22">
        <f>(DataExtract!K58+DataExtract!P58)-(DataExtract!K57+DataExtract!P57)</f>
        <v>1204</v>
      </c>
      <c r="H58" s="22">
        <f>(DataExtract!L58+DataExtract!Q58)-(DataExtract!L57+DataExtract!Q57)</f>
        <v>28961</v>
      </c>
      <c r="I58" s="22">
        <f>(DataExtract!M58+DataExtract!R58)-(DataExtract!M57+DataExtract!R57)</f>
        <v>6878</v>
      </c>
      <c r="J58" s="22">
        <f>(DataExtract!N58+DataExtract!S58)-(DataExtract!N57+DataExtract!S57)</f>
        <v>421426</v>
      </c>
      <c r="K58" s="22">
        <f>(DataExtract!O58+DataExtract!T58)-(DataExtract!O57+DataExtract!T57)</f>
        <v>11945</v>
      </c>
      <c r="L58" s="22">
        <f>DataExtract!U58-DataExtract!U57</f>
        <v>0</v>
      </c>
      <c r="M58" s="22">
        <f>DataExtract!V58-DataExtract!V57</f>
        <v>66223</v>
      </c>
      <c r="N58" s="22">
        <f>DataExtract!W58-DataExtract!W57</f>
        <v>0</v>
      </c>
      <c r="O58" s="22">
        <f>DataExtract!X58-DataExtract!X57</f>
        <v>540663</v>
      </c>
      <c r="P58" s="22">
        <f>DataExtract!Y58-DataExtract!Y57</f>
        <v>108268</v>
      </c>
      <c r="Q58" s="36">
        <f t="shared" si="14"/>
        <v>2.5594476354870391E-3</v>
      </c>
      <c r="R58" s="36">
        <f t="shared" si="15"/>
        <v>6.1564919411412074E-2</v>
      </c>
      <c r="S58" s="36">
        <f t="shared" si="16"/>
        <v>1.462116348578061E-2</v>
      </c>
      <c r="T58" s="36">
        <f t="shared" si="17"/>
        <v>0.89586194288435295</v>
      </c>
      <c r="U58" s="36">
        <f t="shared" si="18"/>
        <v>2.5392526582967343E-2</v>
      </c>
      <c r="V58" s="34">
        <f t="shared" si="9"/>
        <v>0</v>
      </c>
      <c r="W58" s="34">
        <f t="shared" si="10"/>
        <v>9.2599635882621087E-2</v>
      </c>
      <c r="X58" s="34">
        <f t="shared" si="11"/>
        <v>0</v>
      </c>
      <c r="Y58" s="34">
        <f t="shared" si="12"/>
        <v>0.75600919522228782</v>
      </c>
      <c r="Z58" s="34">
        <f t="shared" si="13"/>
        <v>0.15139116889509113</v>
      </c>
    </row>
    <row r="59" spans="1:26" x14ac:dyDescent="0.25">
      <c r="A59" s="25">
        <v>44669</v>
      </c>
      <c r="B59" s="22">
        <f t="shared" si="0"/>
        <v>7</v>
      </c>
      <c r="C59" s="22">
        <f>DataExtract!B59-DataExtract!B58</f>
        <v>382337</v>
      </c>
      <c r="D59" s="22">
        <f>DataExtract!C59-DataExtract!C58</f>
        <v>71319</v>
      </c>
      <c r="E59" s="22">
        <f>DataExtract!D59-DataExtract!D58</f>
        <v>68688</v>
      </c>
      <c r="F59" s="22">
        <f>DataExtract!E59-DataExtract!E58</f>
        <v>242330</v>
      </c>
      <c r="G59" s="22">
        <f>(DataExtract!K59+DataExtract!P59)-(DataExtract!K58+DataExtract!P58)</f>
        <v>467</v>
      </c>
      <c r="H59" s="22">
        <f>(DataExtract!L59+DataExtract!Q59)-(DataExtract!L58+DataExtract!Q58)</f>
        <v>10357</v>
      </c>
      <c r="I59" s="22">
        <f>(DataExtract!M59+DataExtract!R59)-(DataExtract!M58+DataExtract!R58)</f>
        <v>2177</v>
      </c>
      <c r="J59" s="22">
        <f>(DataExtract!N59+DataExtract!S59)-(DataExtract!N58+DataExtract!S58)</f>
        <v>123447</v>
      </c>
      <c r="K59" s="22">
        <f>(DataExtract!O59+DataExtract!T59)-(DataExtract!O58+DataExtract!T58)</f>
        <v>3559</v>
      </c>
      <c r="L59" s="22">
        <f>DataExtract!U59-DataExtract!U58</f>
        <v>0</v>
      </c>
      <c r="M59" s="22">
        <f>DataExtract!V59-DataExtract!V58</f>
        <v>22062</v>
      </c>
      <c r="N59" s="22">
        <f>DataExtract!W59-DataExtract!W58</f>
        <v>0</v>
      </c>
      <c r="O59" s="22">
        <f>DataExtract!X59-DataExtract!X58</f>
        <v>190652</v>
      </c>
      <c r="P59" s="22">
        <f>DataExtract!Y59-DataExtract!Y58</f>
        <v>29616</v>
      </c>
      <c r="Q59" s="36">
        <f t="shared" si="14"/>
        <v>3.3355475083388687E-3</v>
      </c>
      <c r="R59" s="36">
        <f t="shared" si="15"/>
        <v>7.3974872684937187E-2</v>
      </c>
      <c r="S59" s="36">
        <f t="shared" si="16"/>
        <v>1.5549222538873057E-2</v>
      </c>
      <c r="T59" s="36">
        <f t="shared" si="17"/>
        <v>0.88172019970430049</v>
      </c>
      <c r="U59" s="36">
        <f t="shared" si="18"/>
        <v>2.5420157563550393E-2</v>
      </c>
      <c r="V59" s="34">
        <f t="shared" si="9"/>
        <v>0</v>
      </c>
      <c r="W59" s="34">
        <f t="shared" si="10"/>
        <v>9.1041142244047371E-2</v>
      </c>
      <c r="X59" s="34">
        <f t="shared" si="11"/>
        <v>0</v>
      </c>
      <c r="Y59" s="34">
        <f t="shared" si="12"/>
        <v>0.7867453472537449</v>
      </c>
      <c r="Z59" s="34">
        <f t="shared" si="13"/>
        <v>0.12221351050220773</v>
      </c>
    </row>
    <row r="60" spans="1:26" x14ac:dyDescent="0.25">
      <c r="A60" s="25">
        <v>44676</v>
      </c>
      <c r="B60" s="22">
        <f t="shared" si="0"/>
        <v>7</v>
      </c>
      <c r="C60" s="22">
        <f>DataExtract!B60-DataExtract!B59</f>
        <v>985324</v>
      </c>
      <c r="D60" s="22">
        <f>DataExtract!C60-DataExtract!C59</f>
        <v>151365</v>
      </c>
      <c r="E60" s="22">
        <f>DataExtract!D60-DataExtract!D59</f>
        <v>348720</v>
      </c>
      <c r="F60" s="22">
        <f>DataExtract!E60-DataExtract!E59</f>
        <v>485239</v>
      </c>
      <c r="G60" s="22">
        <f>(DataExtract!K60+DataExtract!P60)-(DataExtract!K59+DataExtract!P59)</f>
        <v>983</v>
      </c>
      <c r="H60" s="22">
        <f>(DataExtract!L60+DataExtract!Q60)-(DataExtract!L59+DataExtract!Q59)</f>
        <v>24671</v>
      </c>
      <c r="I60" s="22">
        <f>(DataExtract!M60+DataExtract!R60)-(DataExtract!M59+DataExtract!R59)</f>
        <v>5085</v>
      </c>
      <c r="J60" s="22">
        <f>(DataExtract!N60+DataExtract!S60)-(DataExtract!N59+DataExtract!S59)</f>
        <v>459476</v>
      </c>
      <c r="K60" s="22">
        <f>(DataExtract!O60+DataExtract!T60)-(DataExtract!O59+DataExtract!T59)</f>
        <v>9870</v>
      </c>
      <c r="L60" s="22">
        <f>DataExtract!U60-DataExtract!U59</f>
        <v>0</v>
      </c>
      <c r="M60" s="22">
        <f>DataExtract!V60-DataExtract!V59</f>
        <v>35457</v>
      </c>
      <c r="N60" s="22">
        <f>DataExtract!W60-DataExtract!W59</f>
        <v>0</v>
      </c>
      <c r="O60" s="22">
        <f>DataExtract!X60-DataExtract!X59</f>
        <v>348861</v>
      </c>
      <c r="P60" s="22">
        <f>DataExtract!Y60-DataExtract!Y59</f>
        <v>100921</v>
      </c>
      <c r="Q60" s="36">
        <f t="shared" si="14"/>
        <v>1.9656658368077426E-3</v>
      </c>
      <c r="R60" s="36">
        <f t="shared" si="15"/>
        <v>4.9333613285741422E-2</v>
      </c>
      <c r="S60" s="36">
        <f t="shared" si="16"/>
        <v>1.0168271393863042E-2</v>
      </c>
      <c r="T60" s="36">
        <f t="shared" si="17"/>
        <v>0.91879580471319877</v>
      </c>
      <c r="U60" s="36">
        <f t="shared" si="18"/>
        <v>1.9736644770389035E-2</v>
      </c>
      <c r="V60" s="34">
        <f t="shared" si="9"/>
        <v>0</v>
      </c>
      <c r="W60" s="34">
        <f t="shared" si="10"/>
        <v>7.3071208208738372E-2</v>
      </c>
      <c r="X60" s="34">
        <f t="shared" si="11"/>
        <v>0</v>
      </c>
      <c r="Y60" s="34">
        <f t="shared" si="12"/>
        <v>0.71894674583040519</v>
      </c>
      <c r="Z60" s="34">
        <f t="shared" si="13"/>
        <v>0.2079820459608564</v>
      </c>
    </row>
    <row r="61" spans="1:26" x14ac:dyDescent="0.25">
      <c r="A61" s="25">
        <v>44683</v>
      </c>
      <c r="B61" s="22">
        <f t="shared" si="0"/>
        <v>7</v>
      </c>
      <c r="C61" s="22">
        <f>DataExtract!B61-DataExtract!B60</f>
        <v>1234137</v>
      </c>
      <c r="D61" s="22">
        <f>DataExtract!C61-DataExtract!C60</f>
        <v>148902</v>
      </c>
      <c r="E61" s="22">
        <f>DataExtract!D61-DataExtract!D60</f>
        <v>338019</v>
      </c>
      <c r="F61" s="22">
        <f>DataExtract!E61-DataExtract!E60</f>
        <v>747216</v>
      </c>
      <c r="G61" s="22">
        <f>(DataExtract!K61+DataExtract!P61)-(DataExtract!K60+DataExtract!P60)</f>
        <v>955</v>
      </c>
      <c r="H61" s="22">
        <f>(DataExtract!L61+DataExtract!Q61)-(DataExtract!L60+DataExtract!Q60)</f>
        <v>20734</v>
      </c>
      <c r="I61" s="22">
        <f>(DataExtract!M61+DataExtract!R61)-(DataExtract!M60+DataExtract!R60)</f>
        <v>2909</v>
      </c>
      <c r="J61" s="22">
        <f>(DataExtract!N61+DataExtract!S61)-(DataExtract!N60+DataExtract!S60)</f>
        <v>455766</v>
      </c>
      <c r="K61" s="22">
        <f>(DataExtract!O61+DataExtract!T61)-(DataExtract!O60+DataExtract!T60)</f>
        <v>6557</v>
      </c>
      <c r="L61" s="22">
        <f>DataExtract!U61-DataExtract!U60</f>
        <v>0</v>
      </c>
      <c r="M61" s="22">
        <f>DataExtract!V61-DataExtract!V60</f>
        <v>42021</v>
      </c>
      <c r="N61" s="22">
        <f>DataExtract!W61-DataExtract!W60</f>
        <v>0</v>
      </c>
      <c r="O61" s="22">
        <f>DataExtract!X61-DataExtract!X60</f>
        <v>596476</v>
      </c>
      <c r="P61" s="22">
        <f>DataExtract!Y61-DataExtract!Y60</f>
        <v>108719</v>
      </c>
      <c r="Q61" s="36">
        <f t="shared" si="14"/>
        <v>1.9613037843921291E-3</v>
      </c>
      <c r="R61" s="36">
        <f t="shared" si="15"/>
        <v>4.2581856194331316E-2</v>
      </c>
      <c r="S61" s="36">
        <f t="shared" si="16"/>
        <v>5.9742750877452401E-3</v>
      </c>
      <c r="T61" s="36">
        <f t="shared" si="17"/>
        <v>0.93601631476153213</v>
      </c>
      <c r="U61" s="36">
        <f t="shared" si="18"/>
        <v>1.3466250171999154E-2</v>
      </c>
      <c r="V61" s="34">
        <f t="shared" si="9"/>
        <v>0</v>
      </c>
      <c r="W61" s="34">
        <f t="shared" si="10"/>
        <v>5.6236750819040275E-2</v>
      </c>
      <c r="X61" s="34">
        <f t="shared" si="11"/>
        <v>0</v>
      </c>
      <c r="Y61" s="34">
        <f t="shared" si="12"/>
        <v>0.79826449112438702</v>
      </c>
      <c r="Z61" s="34">
        <f t="shared" si="13"/>
        <v>0.14549875805657267</v>
      </c>
    </row>
    <row r="62" spans="1:26" x14ac:dyDescent="0.25">
      <c r="A62" s="25">
        <v>44690</v>
      </c>
      <c r="B62" s="22">
        <f t="shared" si="0"/>
        <v>7</v>
      </c>
      <c r="C62" s="22">
        <f>DataExtract!B62-DataExtract!B61</f>
        <v>864479</v>
      </c>
      <c r="D62" s="22">
        <f>DataExtract!C62-DataExtract!C61</f>
        <v>105886</v>
      </c>
      <c r="E62" s="22">
        <f>DataExtract!D62-DataExtract!D61</f>
        <v>310638</v>
      </c>
      <c r="F62" s="22">
        <f>DataExtract!E62-DataExtract!E61</f>
        <v>447955</v>
      </c>
      <c r="G62" s="22">
        <f>(DataExtract!K62+DataExtract!P62)-(DataExtract!K61+DataExtract!P61)</f>
        <v>604</v>
      </c>
      <c r="H62" s="22">
        <f>(DataExtract!L62+DataExtract!Q62)-(DataExtract!L61+DataExtract!Q61)</f>
        <v>12786</v>
      </c>
      <c r="I62" s="22">
        <f>(DataExtract!M62+DataExtract!R62)-(DataExtract!M61+DataExtract!R61)</f>
        <v>3654</v>
      </c>
      <c r="J62" s="22">
        <f>(DataExtract!N62+DataExtract!S62)-(DataExtract!N61+DataExtract!S61)</f>
        <v>393415</v>
      </c>
      <c r="K62" s="22">
        <f>(DataExtract!O62+DataExtract!T62)-(DataExtract!O61+DataExtract!T61)</f>
        <v>6065</v>
      </c>
      <c r="L62" s="22">
        <f>DataExtract!U62-DataExtract!U61</f>
        <v>0</v>
      </c>
      <c r="M62" s="22">
        <f>DataExtract!V62-DataExtract!V61</f>
        <v>23984</v>
      </c>
      <c r="N62" s="22">
        <f>DataExtract!W62-DataExtract!W61</f>
        <v>0</v>
      </c>
      <c r="O62" s="22">
        <f>DataExtract!X62-DataExtract!X61</f>
        <v>351115</v>
      </c>
      <c r="P62" s="22">
        <f>DataExtract!Y62-DataExtract!Y61</f>
        <v>72856</v>
      </c>
      <c r="Q62" s="36">
        <f t="shared" si="14"/>
        <v>1.4500965130460669E-3</v>
      </c>
      <c r="R62" s="36">
        <f t="shared" si="15"/>
        <v>3.0696910622197041E-2</v>
      </c>
      <c r="S62" s="36">
        <f t="shared" si="16"/>
        <v>8.7726037395204123E-3</v>
      </c>
      <c r="T62" s="36">
        <f t="shared" si="17"/>
        <v>0.94451940344373919</v>
      </c>
      <c r="U62" s="36">
        <f t="shared" si="18"/>
        <v>1.4560985681497345E-2</v>
      </c>
      <c r="V62" s="34">
        <f t="shared" si="9"/>
        <v>0</v>
      </c>
      <c r="W62" s="34">
        <f t="shared" si="10"/>
        <v>5.3541092297217353E-2</v>
      </c>
      <c r="X62" s="34">
        <f t="shared" si="11"/>
        <v>0</v>
      </c>
      <c r="Y62" s="34">
        <f t="shared" si="12"/>
        <v>0.78381757096136884</v>
      </c>
      <c r="Z62" s="34">
        <f t="shared" si="13"/>
        <v>0.16264133674141376</v>
      </c>
    </row>
    <row r="63" spans="1:26" x14ac:dyDescent="0.25">
      <c r="A63" s="25">
        <v>44697</v>
      </c>
      <c r="B63" s="22">
        <f t="shared" si="0"/>
        <v>7</v>
      </c>
      <c r="C63" s="22">
        <f>DataExtract!B63-DataExtract!B62</f>
        <v>905372</v>
      </c>
      <c r="D63" s="22">
        <f>DataExtract!C63-DataExtract!C62</f>
        <v>109345</v>
      </c>
      <c r="E63" s="22">
        <f>DataExtract!D63-DataExtract!D62</f>
        <v>301162</v>
      </c>
      <c r="F63" s="22">
        <f>DataExtract!E63-DataExtract!E62</f>
        <v>494865</v>
      </c>
      <c r="G63" s="22">
        <f>(DataExtract!K63+DataExtract!P63)-(DataExtract!K62+DataExtract!P62)</f>
        <v>1174</v>
      </c>
      <c r="H63" s="22">
        <f>(DataExtract!L63+DataExtract!Q63)-(DataExtract!L62+DataExtract!Q62)</f>
        <v>12762</v>
      </c>
      <c r="I63" s="22">
        <f>(DataExtract!M63+DataExtract!R63)-(DataExtract!M62+DataExtract!R62)</f>
        <v>2282</v>
      </c>
      <c r="J63" s="22">
        <f>(DataExtract!N63+DataExtract!S63)-(DataExtract!N62+DataExtract!S62)</f>
        <v>389657</v>
      </c>
      <c r="K63" s="22">
        <f>(DataExtract!O63+DataExtract!T63)-(DataExtract!O62+DataExtract!T62)</f>
        <v>4632</v>
      </c>
      <c r="L63" s="22">
        <f>DataExtract!U63-DataExtract!U62</f>
        <v>0</v>
      </c>
      <c r="M63" s="22">
        <f>DataExtract!V63-DataExtract!V62</f>
        <v>18894</v>
      </c>
      <c r="N63" s="22">
        <f>DataExtract!W63-DataExtract!W62</f>
        <v>0</v>
      </c>
      <c r="O63" s="22">
        <f>DataExtract!X63-DataExtract!X62</f>
        <v>398628</v>
      </c>
      <c r="P63" s="22">
        <f>DataExtract!Y63-DataExtract!Y62</f>
        <v>77343</v>
      </c>
      <c r="Q63" s="36">
        <f t="shared" si="14"/>
        <v>2.8598781506770895E-3</v>
      </c>
      <c r="R63" s="36">
        <f t="shared" si="15"/>
        <v>3.1088385825333065E-2</v>
      </c>
      <c r="S63" s="36">
        <f t="shared" si="16"/>
        <v>5.5589795058305948E-3</v>
      </c>
      <c r="T63" s="36">
        <f t="shared" si="17"/>
        <v>0.94920914868686768</v>
      </c>
      <c r="U63" s="36">
        <f t="shared" si="18"/>
        <v>1.1283607831291549E-2</v>
      </c>
      <c r="V63" s="34">
        <f t="shared" si="9"/>
        <v>0</v>
      </c>
      <c r="W63" s="34">
        <f t="shared" si="10"/>
        <v>3.8180109726895214E-2</v>
      </c>
      <c r="X63" s="34">
        <f t="shared" si="11"/>
        <v>0</v>
      </c>
      <c r="Y63" s="34">
        <f t="shared" si="12"/>
        <v>0.80552878057652089</v>
      </c>
      <c r="Z63" s="34">
        <f t="shared" si="13"/>
        <v>0.15629110969658391</v>
      </c>
    </row>
    <row r="64" spans="1:26" x14ac:dyDescent="0.25">
      <c r="A64" s="25">
        <v>44704</v>
      </c>
      <c r="B64" s="22">
        <f t="shared" si="0"/>
        <v>7</v>
      </c>
      <c r="C64" s="22">
        <f>DataExtract!B64-DataExtract!B63</f>
        <v>951092</v>
      </c>
      <c r="D64" s="22">
        <f>DataExtract!C64-DataExtract!C63</f>
        <v>98146</v>
      </c>
      <c r="E64" s="22">
        <f>DataExtract!D64-DataExtract!D63</f>
        <v>346410</v>
      </c>
      <c r="F64" s="22">
        <f>DataExtract!E64-DataExtract!E63</f>
        <v>506536</v>
      </c>
      <c r="G64" s="22">
        <f>(DataExtract!K64+DataExtract!P64)-(DataExtract!K63+DataExtract!P63)</f>
        <v>1782</v>
      </c>
      <c r="H64" s="22">
        <f>(DataExtract!L64+DataExtract!Q64)-(DataExtract!L63+DataExtract!Q63)</f>
        <v>13335</v>
      </c>
      <c r="I64" s="22">
        <f>(DataExtract!M64+DataExtract!R64)-(DataExtract!M63+DataExtract!R63)</f>
        <v>1982</v>
      </c>
      <c r="J64" s="22">
        <f>(DataExtract!N64+DataExtract!S64)-(DataExtract!N63+DataExtract!S63)</f>
        <v>422436</v>
      </c>
      <c r="K64" s="22">
        <f>(DataExtract!O64+DataExtract!T64)-(DataExtract!O63+DataExtract!T63)</f>
        <v>5021</v>
      </c>
      <c r="L64" s="22">
        <f>DataExtract!U64-DataExtract!U63</f>
        <v>0</v>
      </c>
      <c r="M64" s="22">
        <f>DataExtract!V64-DataExtract!V63</f>
        <v>20213</v>
      </c>
      <c r="N64" s="22">
        <f>DataExtract!W64-DataExtract!W63</f>
        <v>0</v>
      </c>
      <c r="O64" s="22">
        <f>DataExtract!X64-DataExtract!X63</f>
        <v>402574</v>
      </c>
      <c r="P64" s="22">
        <f>DataExtract!Y64-DataExtract!Y63</f>
        <v>83749</v>
      </c>
      <c r="Q64" s="36">
        <f t="shared" si="14"/>
        <v>4.0084938680391225E-3</v>
      </c>
      <c r="R64" s="36">
        <f t="shared" si="15"/>
        <v>2.9996220948541916E-2</v>
      </c>
      <c r="S64" s="36">
        <f t="shared" si="16"/>
        <v>4.4583809463824581E-3</v>
      </c>
      <c r="T64" s="36">
        <f t="shared" si="17"/>
        <v>0.95024248913522702</v>
      </c>
      <c r="U64" s="36">
        <f t="shared" si="18"/>
        <v>1.1294415101809447E-2</v>
      </c>
      <c r="V64" s="34">
        <f t="shared" si="9"/>
        <v>0</v>
      </c>
      <c r="W64" s="34">
        <f t="shared" si="10"/>
        <v>3.9904370074387609E-2</v>
      </c>
      <c r="X64" s="34">
        <f t="shared" si="11"/>
        <v>0</v>
      </c>
      <c r="Y64" s="34">
        <f t="shared" si="12"/>
        <v>0.79475891150875755</v>
      </c>
      <c r="Z64" s="34">
        <f t="shared" si="13"/>
        <v>0.16533671841685488</v>
      </c>
    </row>
    <row r="65" spans="1:26" x14ac:dyDescent="0.25">
      <c r="A65" s="25">
        <v>44711</v>
      </c>
      <c r="B65" s="22">
        <f t="shared" si="0"/>
        <v>7</v>
      </c>
      <c r="C65" s="22">
        <f>DataExtract!B65-DataExtract!B64</f>
        <v>993951</v>
      </c>
      <c r="D65" s="22">
        <f>DataExtract!C65-DataExtract!C64</f>
        <v>111213</v>
      </c>
      <c r="E65" s="22">
        <f>DataExtract!D65-DataExtract!D64</f>
        <v>313623</v>
      </c>
      <c r="F65" s="22">
        <f>DataExtract!E65-DataExtract!E64</f>
        <v>569115</v>
      </c>
      <c r="G65" s="22">
        <f>(DataExtract!K65+DataExtract!P65)-(DataExtract!K64+DataExtract!P64)</f>
        <v>727</v>
      </c>
      <c r="H65" s="22">
        <f>(DataExtract!L65+DataExtract!Q65)-(DataExtract!L64+DataExtract!Q64)</f>
        <v>12737</v>
      </c>
      <c r="I65" s="22">
        <f>(DataExtract!M65+DataExtract!R65)-(DataExtract!M64+DataExtract!R64)</f>
        <v>1320</v>
      </c>
      <c r="J65" s="22">
        <f>(DataExtract!N65+DataExtract!S65)-(DataExtract!N64+DataExtract!S64)</f>
        <v>404461</v>
      </c>
      <c r="K65" s="22">
        <f>(DataExtract!O65+DataExtract!T65)-(DataExtract!O64+DataExtract!T64)</f>
        <v>5591</v>
      </c>
      <c r="L65" s="22">
        <f>DataExtract!U65-DataExtract!U64</f>
        <v>0</v>
      </c>
      <c r="M65" s="22">
        <f>DataExtract!V65-DataExtract!V64</f>
        <v>19377</v>
      </c>
      <c r="N65" s="22">
        <f>DataExtract!W65-DataExtract!W64</f>
        <v>0</v>
      </c>
      <c r="O65" s="22">
        <f>DataExtract!X65-DataExtract!X64</f>
        <v>454797</v>
      </c>
      <c r="P65" s="22">
        <f>DataExtract!Y65-DataExtract!Y64</f>
        <v>94941</v>
      </c>
      <c r="Q65" s="36">
        <f t="shared" si="14"/>
        <v>1.7112485759210613E-3</v>
      </c>
      <c r="R65" s="36">
        <f t="shared" si="15"/>
        <v>2.9980980896157576E-2</v>
      </c>
      <c r="S65" s="36">
        <f t="shared" si="16"/>
        <v>3.1070813207920234E-3</v>
      </c>
      <c r="T65" s="36">
        <f t="shared" si="17"/>
        <v>0.95204031673398681</v>
      </c>
      <c r="U65" s="36">
        <f t="shared" si="18"/>
        <v>1.3160372473142577E-2</v>
      </c>
      <c r="V65" s="34">
        <f t="shared" si="9"/>
        <v>0</v>
      </c>
      <c r="W65" s="34">
        <f t="shared" si="10"/>
        <v>3.4047600221396378E-2</v>
      </c>
      <c r="X65" s="34">
        <f t="shared" si="11"/>
        <v>0</v>
      </c>
      <c r="Y65" s="34">
        <f t="shared" si="12"/>
        <v>0.79913022851269078</v>
      </c>
      <c r="Z65" s="34">
        <f t="shared" si="13"/>
        <v>0.16682217126591287</v>
      </c>
    </row>
    <row r="66" spans="1:26" x14ac:dyDescent="0.25">
      <c r="A66" s="25">
        <v>44718</v>
      </c>
      <c r="B66" s="22">
        <f t="shared" si="0"/>
        <v>7</v>
      </c>
      <c r="C66" s="22">
        <f>DataExtract!B66-DataExtract!B65</f>
        <v>567333</v>
      </c>
      <c r="D66" s="22">
        <f>DataExtract!C66-DataExtract!C65</f>
        <v>63584</v>
      </c>
      <c r="E66" s="22">
        <f>DataExtract!D66-DataExtract!D65</f>
        <v>165681</v>
      </c>
      <c r="F66" s="22">
        <f>DataExtract!E66-DataExtract!E65</f>
        <v>338068</v>
      </c>
      <c r="G66" s="22">
        <f>(DataExtract!K66+DataExtract!P66)-(DataExtract!K65+DataExtract!P65)</f>
        <v>2240</v>
      </c>
      <c r="H66" s="22">
        <f>(DataExtract!L66+DataExtract!Q66)-(DataExtract!L65+DataExtract!Q65)</f>
        <v>8531</v>
      </c>
      <c r="I66" s="22">
        <f>(DataExtract!M66+DataExtract!R66)-(DataExtract!M65+DataExtract!R65)</f>
        <v>2331</v>
      </c>
      <c r="J66" s="22">
        <f>(DataExtract!N66+DataExtract!S66)-(DataExtract!N65+DataExtract!S65)</f>
        <v>212531</v>
      </c>
      <c r="K66" s="22">
        <f>(DataExtract!O66+DataExtract!T66)-(DataExtract!O65+DataExtract!T65)</f>
        <v>3632</v>
      </c>
      <c r="L66" s="22">
        <f>DataExtract!U66-DataExtract!U65</f>
        <v>0</v>
      </c>
      <c r="M66" s="22">
        <f>DataExtract!V66-DataExtract!V65</f>
        <v>11567</v>
      </c>
      <c r="N66" s="22">
        <f>DataExtract!W66-DataExtract!W65</f>
        <v>0</v>
      </c>
      <c r="O66" s="22">
        <f>DataExtract!X66-DataExtract!X65</f>
        <v>261360</v>
      </c>
      <c r="P66" s="22">
        <f>DataExtract!Y66-DataExtract!Y65</f>
        <v>65141</v>
      </c>
      <c r="Q66" s="36">
        <f t="shared" si="14"/>
        <v>9.7703530848581334E-3</v>
      </c>
      <c r="R66" s="36">
        <f t="shared" si="15"/>
        <v>3.72102152530914E-2</v>
      </c>
      <c r="S66" s="36">
        <f t="shared" si="16"/>
        <v>1.0167273678930496E-2</v>
      </c>
      <c r="T66" s="36">
        <f t="shared" si="17"/>
        <v>0.92701022833838576</v>
      </c>
      <c r="U66" s="36">
        <f t="shared" si="18"/>
        <v>1.584192964473426E-2</v>
      </c>
      <c r="V66" s="34">
        <f t="shared" si="9"/>
        <v>0</v>
      </c>
      <c r="W66" s="34">
        <f t="shared" si="10"/>
        <v>3.4215009997988571E-2</v>
      </c>
      <c r="X66" s="34">
        <f t="shared" si="11"/>
        <v>0</v>
      </c>
      <c r="Y66" s="34">
        <f t="shared" si="12"/>
        <v>0.77309890317924201</v>
      </c>
      <c r="Z66" s="34">
        <f t="shared" si="13"/>
        <v>0.19268608682276939</v>
      </c>
    </row>
    <row r="67" spans="1:26" x14ac:dyDescent="0.25">
      <c r="A67" s="25">
        <v>44725</v>
      </c>
      <c r="B67" s="22">
        <f t="shared" si="0"/>
        <v>7</v>
      </c>
      <c r="C67" s="22">
        <f>DataExtract!B67-DataExtract!B66</f>
        <v>503714</v>
      </c>
      <c r="D67" s="22">
        <f>DataExtract!C67-DataExtract!C66</f>
        <v>60125</v>
      </c>
      <c r="E67" s="22">
        <f>DataExtract!D67-DataExtract!D66</f>
        <v>120480</v>
      </c>
      <c r="F67" s="22">
        <f>DataExtract!E67-DataExtract!E66</f>
        <v>323109</v>
      </c>
      <c r="G67" s="22">
        <f>(DataExtract!K67+DataExtract!P67)-(DataExtract!K66+DataExtract!P66)</f>
        <v>334</v>
      </c>
      <c r="H67" s="22">
        <f>(DataExtract!L67+DataExtract!Q67)-(DataExtract!L66+DataExtract!Q66)</f>
        <v>6279</v>
      </c>
      <c r="I67" s="22">
        <f>(DataExtract!M67+DataExtract!R67)-(DataExtract!M66+DataExtract!R66)</f>
        <v>1268</v>
      </c>
      <c r="J67" s="22">
        <f>(DataExtract!N67+DataExtract!S67)-(DataExtract!N66+DataExtract!S66)</f>
        <v>167830</v>
      </c>
      <c r="K67" s="22">
        <f>(DataExtract!O67+DataExtract!T67)-(DataExtract!O66+DataExtract!T66)</f>
        <v>4894</v>
      </c>
      <c r="L67" s="22">
        <f>DataExtract!U67-DataExtract!U66</f>
        <v>0</v>
      </c>
      <c r="M67" s="22">
        <f>DataExtract!V67-DataExtract!V66</f>
        <v>9446</v>
      </c>
      <c r="N67" s="22">
        <f>DataExtract!W67-DataExtract!W66</f>
        <v>0</v>
      </c>
      <c r="O67" s="22">
        <f>DataExtract!X67-DataExtract!X66</f>
        <v>236178</v>
      </c>
      <c r="P67" s="22">
        <f>DataExtract!Y67-DataExtract!Y66</f>
        <v>77485</v>
      </c>
      <c r="Q67" s="36">
        <f t="shared" si="14"/>
        <v>1.849339719276875E-3</v>
      </c>
      <c r="R67" s="36">
        <f t="shared" si="15"/>
        <v>3.4766479333351787E-2</v>
      </c>
      <c r="S67" s="36">
        <f t="shared" si="16"/>
        <v>7.0208465989313696E-3</v>
      </c>
      <c r="T67" s="36">
        <f t="shared" si="17"/>
        <v>0.92926552421029318</v>
      </c>
      <c r="U67" s="36">
        <f t="shared" si="18"/>
        <v>2.7097810138146786E-2</v>
      </c>
      <c r="V67" s="34">
        <f t="shared" si="9"/>
        <v>0</v>
      </c>
      <c r="W67" s="34">
        <f t="shared" si="10"/>
        <v>2.9234716457913583E-2</v>
      </c>
      <c r="X67" s="34">
        <f t="shared" si="11"/>
        <v>0</v>
      </c>
      <c r="Y67" s="34">
        <f t="shared" si="12"/>
        <v>0.73095456951059856</v>
      </c>
      <c r="Z67" s="34">
        <f t="shared" si="13"/>
        <v>0.23981071403148782</v>
      </c>
    </row>
    <row r="68" spans="1:26" x14ac:dyDescent="0.25">
      <c r="A68" s="25">
        <v>44732</v>
      </c>
      <c r="B68" s="22">
        <f t="shared" ref="B68:B85" si="19">A68-A67</f>
        <v>7</v>
      </c>
      <c r="C68" s="22">
        <f>DataExtract!B68-DataExtract!B67</f>
        <v>461080</v>
      </c>
      <c r="D68" s="22">
        <f>DataExtract!C68-DataExtract!C67</f>
        <v>53972</v>
      </c>
      <c r="E68" s="22">
        <f>DataExtract!D68-DataExtract!D67</f>
        <v>106669</v>
      </c>
      <c r="F68" s="22">
        <f>DataExtract!E68-DataExtract!E67</f>
        <v>300439</v>
      </c>
      <c r="G68" s="22">
        <f>(DataExtract!K68+DataExtract!P68)-(DataExtract!K67+DataExtract!P67)</f>
        <v>628</v>
      </c>
      <c r="H68" s="22">
        <f>(DataExtract!L68+DataExtract!Q68)-(DataExtract!L67+DataExtract!Q67)</f>
        <v>5907</v>
      </c>
      <c r="I68" s="22">
        <f>(DataExtract!M68+DataExtract!R68)-(DataExtract!M67+DataExtract!R67)</f>
        <v>2142</v>
      </c>
      <c r="J68" s="22">
        <f>(DataExtract!N68+DataExtract!S68)-(DataExtract!N67+DataExtract!S67)</f>
        <v>147411</v>
      </c>
      <c r="K68" s="22">
        <f>(DataExtract!O68+DataExtract!T68)-(DataExtract!O67+DataExtract!T67)</f>
        <v>4553</v>
      </c>
      <c r="L68" s="22">
        <f>DataExtract!U68-DataExtract!U67</f>
        <v>0</v>
      </c>
      <c r="M68" s="22">
        <f>DataExtract!V68-DataExtract!V67</f>
        <v>8326</v>
      </c>
      <c r="N68" s="22">
        <f>DataExtract!W68-DataExtract!W67</f>
        <v>0</v>
      </c>
      <c r="O68" s="22">
        <f>DataExtract!X68-DataExtract!X67</f>
        <v>213613</v>
      </c>
      <c r="P68" s="22">
        <f>DataExtract!Y68-DataExtract!Y67</f>
        <v>78500</v>
      </c>
      <c r="Q68" s="36">
        <f t="shared" si="14"/>
        <v>3.9093382137810398E-3</v>
      </c>
      <c r="R68" s="36">
        <f t="shared" si="15"/>
        <v>3.6771434440771661E-2</v>
      </c>
      <c r="S68" s="36">
        <f t="shared" si="16"/>
        <v>1.3334080340635329E-2</v>
      </c>
      <c r="T68" s="36">
        <f t="shared" si="17"/>
        <v>0.91764244495489944</v>
      </c>
      <c r="U68" s="36">
        <f t="shared" si="18"/>
        <v>2.8342702049912537E-2</v>
      </c>
      <c r="V68" s="34">
        <f t="shared" ref="V68:V85" si="20">L68/SUM($L68:$P68)</f>
        <v>0</v>
      </c>
      <c r="W68" s="34">
        <f t="shared" ref="W68:W85" si="21">M68/SUM($L68:$P68)</f>
        <v>2.7712780298163688E-2</v>
      </c>
      <c r="X68" s="34">
        <f t="shared" ref="X68:X85" si="22">N68/SUM($L68:$P68)</f>
        <v>0</v>
      </c>
      <c r="Y68" s="34">
        <f t="shared" ref="Y68:Y85" si="23">O68/SUM($L68:$P68)</f>
        <v>0.71100289909099679</v>
      </c>
      <c r="Z68" s="34">
        <f t="shared" ref="Z68:Z85" si="24">P68/SUM($L68:$P68)</f>
        <v>0.26128432061083945</v>
      </c>
    </row>
    <row r="69" spans="1:26" x14ac:dyDescent="0.25">
      <c r="A69" s="25">
        <v>44739</v>
      </c>
      <c r="B69" s="22">
        <f t="shared" si="19"/>
        <v>7</v>
      </c>
      <c r="C69" s="22">
        <f>DataExtract!B69-DataExtract!B68</f>
        <v>451091</v>
      </c>
      <c r="D69" s="22">
        <f>DataExtract!C69-DataExtract!C68</f>
        <v>48759</v>
      </c>
      <c r="E69" s="22">
        <f>DataExtract!D69-DataExtract!D68</f>
        <v>105498</v>
      </c>
      <c r="F69" s="22">
        <f>DataExtract!E69-DataExtract!E68</f>
        <v>296834</v>
      </c>
      <c r="G69" s="22">
        <f>(DataExtract!K69+DataExtract!P69)-(DataExtract!K68+DataExtract!P68)</f>
        <v>946</v>
      </c>
      <c r="H69" s="22">
        <f>(DataExtract!L69+DataExtract!Q69)-(DataExtract!L68+DataExtract!Q68)</f>
        <v>7635</v>
      </c>
      <c r="I69" s="22">
        <f>(DataExtract!M69+DataExtract!R69)-(DataExtract!M68+DataExtract!R68)</f>
        <v>1638</v>
      </c>
      <c r="J69" s="22">
        <f>(DataExtract!N69+DataExtract!S69)-(DataExtract!N68+DataExtract!S68)</f>
        <v>139384</v>
      </c>
      <c r="K69" s="22">
        <f>(DataExtract!O69+DataExtract!T69)-(DataExtract!O68+DataExtract!T68)</f>
        <v>4654</v>
      </c>
      <c r="L69" s="22">
        <f>DataExtract!U69-DataExtract!U68</f>
        <v>0</v>
      </c>
      <c r="M69" s="22">
        <f>DataExtract!V69-DataExtract!V68</f>
        <v>8929</v>
      </c>
      <c r="N69" s="22">
        <f>DataExtract!W69-DataExtract!W68</f>
        <v>0</v>
      </c>
      <c r="O69" s="22">
        <f>DataExtract!X69-DataExtract!X68</f>
        <v>195882</v>
      </c>
      <c r="P69" s="22">
        <f>DataExtract!Y69-DataExtract!Y68</f>
        <v>92023</v>
      </c>
      <c r="Q69" s="36">
        <f t="shared" si="14"/>
        <v>6.1326228307305337E-3</v>
      </c>
      <c r="R69" s="36">
        <f t="shared" si="15"/>
        <v>4.949532274062117E-2</v>
      </c>
      <c r="S69" s="36">
        <f t="shared" si="16"/>
        <v>1.0618642914097901E-2</v>
      </c>
      <c r="T69" s="36">
        <f t="shared" si="17"/>
        <v>0.90358298164751027</v>
      </c>
      <c r="U69" s="36">
        <f t="shared" si="18"/>
        <v>3.017042986704007E-2</v>
      </c>
      <c r="V69" s="34">
        <f t="shared" si="20"/>
        <v>0</v>
      </c>
      <c r="W69" s="34">
        <f t="shared" si="21"/>
        <v>3.0080785893799228E-2</v>
      </c>
      <c r="X69" s="34">
        <f t="shared" si="22"/>
        <v>0</v>
      </c>
      <c r="Y69" s="34">
        <f t="shared" si="23"/>
        <v>0.65990418887324231</v>
      </c>
      <c r="Z69" s="34">
        <f t="shared" si="24"/>
        <v>0.31001502523295849</v>
      </c>
    </row>
    <row r="70" spans="1:26" x14ac:dyDescent="0.25">
      <c r="A70" s="25">
        <v>44746</v>
      </c>
      <c r="B70" s="22">
        <f t="shared" si="19"/>
        <v>7</v>
      </c>
      <c r="C70" s="22">
        <f>DataExtract!B70-DataExtract!B69</f>
        <v>423878</v>
      </c>
      <c r="D70" s="22">
        <f>DataExtract!C70-DataExtract!C69</f>
        <v>40947</v>
      </c>
      <c r="E70" s="22">
        <f>DataExtract!D70-DataExtract!D69</f>
        <v>81172</v>
      </c>
      <c r="F70" s="22">
        <f>DataExtract!E70-DataExtract!E69</f>
        <v>301759</v>
      </c>
      <c r="G70" s="22">
        <f>(DataExtract!K70+DataExtract!P70)-(DataExtract!K69+DataExtract!P69)</f>
        <v>615</v>
      </c>
      <c r="H70" s="22">
        <f>(DataExtract!L70+DataExtract!Q70)-(DataExtract!L69+DataExtract!Q69)</f>
        <v>7891</v>
      </c>
      <c r="I70" s="22">
        <f>(DataExtract!M70+DataExtract!R70)-(DataExtract!M69+DataExtract!R69)</f>
        <v>946</v>
      </c>
      <c r="J70" s="22">
        <f>(DataExtract!N70+DataExtract!S70)-(DataExtract!N69+DataExtract!S69)</f>
        <v>107889</v>
      </c>
      <c r="K70" s="22">
        <f>(DataExtract!O70+DataExtract!T70)-(DataExtract!O69+DataExtract!T69)</f>
        <v>4778</v>
      </c>
      <c r="L70" s="22">
        <f>DataExtract!U70-DataExtract!U69</f>
        <v>0</v>
      </c>
      <c r="M70" s="22">
        <f>DataExtract!V70-DataExtract!V69</f>
        <v>7731</v>
      </c>
      <c r="N70" s="22">
        <f>DataExtract!W70-DataExtract!W69</f>
        <v>0</v>
      </c>
      <c r="O70" s="22">
        <f>DataExtract!X70-DataExtract!X69</f>
        <v>189788</v>
      </c>
      <c r="P70" s="22">
        <f>DataExtract!Y70-DataExtract!Y69</f>
        <v>104240</v>
      </c>
      <c r="Q70" s="36">
        <f t="shared" si="14"/>
        <v>5.0360713730050197E-3</v>
      </c>
      <c r="R70" s="36">
        <f t="shared" si="15"/>
        <v>6.4617299519321311E-2</v>
      </c>
      <c r="S70" s="36">
        <f t="shared" si="16"/>
        <v>7.7465423070939001E-3</v>
      </c>
      <c r="T70" s="36">
        <f t="shared" si="17"/>
        <v>0.88347431603599769</v>
      </c>
      <c r="U70" s="36">
        <f t="shared" si="18"/>
        <v>3.9125770764582089E-2</v>
      </c>
      <c r="V70" s="34">
        <f t="shared" si="20"/>
        <v>0</v>
      </c>
      <c r="W70" s="34">
        <f t="shared" si="21"/>
        <v>2.5619782674253296E-2</v>
      </c>
      <c r="X70" s="34">
        <f t="shared" si="22"/>
        <v>0</v>
      </c>
      <c r="Y70" s="34">
        <f t="shared" si="23"/>
        <v>0.6289389877352457</v>
      </c>
      <c r="Z70" s="34">
        <f t="shared" si="24"/>
        <v>0.34544122959050105</v>
      </c>
    </row>
    <row r="71" spans="1:26" x14ac:dyDescent="0.25">
      <c r="A71" s="25">
        <v>44753</v>
      </c>
      <c r="B71" s="22">
        <f t="shared" si="19"/>
        <v>7</v>
      </c>
      <c r="C71" s="22">
        <f>DataExtract!B71-DataExtract!B70</f>
        <v>430366</v>
      </c>
      <c r="D71" s="22">
        <f>DataExtract!C71-DataExtract!C70</f>
        <v>38810</v>
      </c>
      <c r="E71" s="22">
        <f>DataExtract!D71-DataExtract!D70</f>
        <v>84404</v>
      </c>
      <c r="F71" s="22">
        <f>DataExtract!E71-DataExtract!E70</f>
        <v>307152</v>
      </c>
      <c r="G71" s="22">
        <f>(DataExtract!K71+DataExtract!P71)-(DataExtract!K70+DataExtract!P70)</f>
        <v>630</v>
      </c>
      <c r="H71" s="22">
        <f>(DataExtract!L71+DataExtract!Q71)-(DataExtract!L70+DataExtract!Q70)</f>
        <v>4392</v>
      </c>
      <c r="I71" s="22">
        <f>(DataExtract!M71+DataExtract!R71)-(DataExtract!M70+DataExtract!R70)</f>
        <v>790</v>
      </c>
      <c r="J71" s="22">
        <f>(DataExtract!N71+DataExtract!S71)-(DataExtract!N70+DataExtract!S70)</f>
        <v>112709</v>
      </c>
      <c r="K71" s="22">
        <f>(DataExtract!O71+DataExtract!T71)-(DataExtract!O70+DataExtract!T70)</f>
        <v>4693</v>
      </c>
      <c r="L71" s="22">
        <f>DataExtract!U71-DataExtract!U70</f>
        <v>0</v>
      </c>
      <c r="M71" s="22">
        <f>DataExtract!V71-DataExtract!V70</f>
        <v>6140</v>
      </c>
      <c r="N71" s="22">
        <f>DataExtract!W71-DataExtract!W70</f>
        <v>0</v>
      </c>
      <c r="O71" s="22">
        <f>DataExtract!X71-DataExtract!X70</f>
        <v>195602</v>
      </c>
      <c r="P71" s="22">
        <f>DataExtract!Y71-DataExtract!Y70</f>
        <v>105410</v>
      </c>
      <c r="Q71" s="36">
        <f t="shared" si="14"/>
        <v>5.1130553346210661E-3</v>
      </c>
      <c r="R71" s="36">
        <f t="shared" si="15"/>
        <v>3.5645300047072573E-2</v>
      </c>
      <c r="S71" s="36">
        <f t="shared" si="16"/>
        <v>6.4116090703978442E-3</v>
      </c>
      <c r="T71" s="36">
        <f t="shared" si="17"/>
        <v>0.91474183128540587</v>
      </c>
      <c r="U71" s="36">
        <f t="shared" si="18"/>
        <v>3.8088204262502638E-2</v>
      </c>
      <c r="V71" s="34">
        <f t="shared" si="20"/>
        <v>0</v>
      </c>
      <c r="W71" s="34">
        <f t="shared" si="21"/>
        <v>1.9990102620201074E-2</v>
      </c>
      <c r="X71" s="34">
        <f t="shared" si="22"/>
        <v>0</v>
      </c>
      <c r="Y71" s="34">
        <f t="shared" si="23"/>
        <v>0.63682476428608636</v>
      </c>
      <c r="Z71" s="34">
        <f t="shared" si="24"/>
        <v>0.34318513309371257</v>
      </c>
    </row>
    <row r="72" spans="1:26" x14ac:dyDescent="0.25">
      <c r="A72" s="25">
        <v>44760</v>
      </c>
      <c r="B72" s="22">
        <f t="shared" si="19"/>
        <v>7</v>
      </c>
      <c r="C72" s="22">
        <f>DataExtract!B72-DataExtract!B71</f>
        <v>285996</v>
      </c>
      <c r="D72" s="22">
        <f>DataExtract!C72-DataExtract!C71</f>
        <v>19797</v>
      </c>
      <c r="E72" s="22">
        <f>DataExtract!D72-DataExtract!D71</f>
        <v>36240</v>
      </c>
      <c r="F72" s="22">
        <f>DataExtract!E72-DataExtract!E71</f>
        <v>229959</v>
      </c>
      <c r="G72" s="22">
        <f>(DataExtract!K72+DataExtract!P72)-(DataExtract!K71+DataExtract!P71)</f>
        <v>219</v>
      </c>
      <c r="H72" s="22">
        <f>(DataExtract!L72+DataExtract!Q72)-(DataExtract!L71+DataExtract!Q71)</f>
        <v>1967</v>
      </c>
      <c r="I72" s="22">
        <f>(DataExtract!M72+DataExtract!R72)-(DataExtract!M71+DataExtract!R71)</f>
        <v>578</v>
      </c>
      <c r="J72" s="22">
        <f>(DataExtract!N72+DataExtract!S72)-(DataExtract!N71+DataExtract!S71)</f>
        <v>49455</v>
      </c>
      <c r="K72" s="22">
        <f>(DataExtract!O72+DataExtract!T72)-(DataExtract!O71+DataExtract!T71)</f>
        <v>3818</v>
      </c>
      <c r="L72" s="22">
        <f>DataExtract!U72-DataExtract!U71</f>
        <v>0</v>
      </c>
      <c r="M72" s="22">
        <f>DataExtract!V72-DataExtract!V71</f>
        <v>4449</v>
      </c>
      <c r="N72" s="22">
        <f>DataExtract!W72-DataExtract!W71</f>
        <v>0</v>
      </c>
      <c r="O72" s="22">
        <f>DataExtract!X72-DataExtract!X71</f>
        <v>131146</v>
      </c>
      <c r="P72" s="22">
        <f>DataExtract!Y72-DataExtract!Y71</f>
        <v>94364</v>
      </c>
      <c r="Q72" s="36">
        <f t="shared" si="14"/>
        <v>3.9081321269875263E-3</v>
      </c>
      <c r="R72" s="36">
        <f t="shared" si="15"/>
        <v>3.5101807734175636E-2</v>
      </c>
      <c r="S72" s="36">
        <f t="shared" si="16"/>
        <v>1.0314613558898586E-2</v>
      </c>
      <c r="T72" s="36">
        <f t="shared" si="17"/>
        <v>0.88254189196423793</v>
      </c>
      <c r="U72" s="36">
        <f t="shared" si="18"/>
        <v>6.8133554615700337E-2</v>
      </c>
      <c r="V72" s="34">
        <f t="shared" si="20"/>
        <v>0</v>
      </c>
      <c r="W72" s="34">
        <f t="shared" si="21"/>
        <v>1.934692706091086E-2</v>
      </c>
      <c r="X72" s="34">
        <f t="shared" si="22"/>
        <v>0</v>
      </c>
      <c r="Y72" s="34">
        <f t="shared" si="23"/>
        <v>0.57030166247026648</v>
      </c>
      <c r="Z72" s="34">
        <f t="shared" si="24"/>
        <v>0.41035141046882273</v>
      </c>
    </row>
    <row r="73" spans="1:26" x14ac:dyDescent="0.25">
      <c r="A73" s="25">
        <v>44768</v>
      </c>
      <c r="B73" s="22">
        <f t="shared" si="19"/>
        <v>8</v>
      </c>
      <c r="C73" s="22">
        <f>DataExtract!B73-DataExtract!B72</f>
        <v>579147</v>
      </c>
      <c r="D73" s="22">
        <f>DataExtract!C73-DataExtract!C72</f>
        <v>52105</v>
      </c>
      <c r="E73" s="22">
        <f>DataExtract!D73-DataExtract!D72</f>
        <v>120246</v>
      </c>
      <c r="F73" s="22">
        <f>DataExtract!E73-DataExtract!E72</f>
        <v>406796</v>
      </c>
      <c r="G73" s="22">
        <f>(DataExtract!K73+DataExtract!P73)-(DataExtract!K72+DataExtract!P72)</f>
        <v>242</v>
      </c>
      <c r="H73" s="22">
        <f>(DataExtract!L73+DataExtract!Q73)-(DataExtract!L72+DataExtract!Q72)</f>
        <v>5418</v>
      </c>
      <c r="I73" s="22">
        <f>(DataExtract!M73+DataExtract!R73)-(DataExtract!M72+DataExtract!R72)</f>
        <v>720</v>
      </c>
      <c r="J73" s="22">
        <f>(DataExtract!N73+DataExtract!S73)-(DataExtract!N72+DataExtract!S72)</f>
        <v>160700</v>
      </c>
      <c r="K73" s="22">
        <f>(DataExtract!O73+DataExtract!T73)-(DataExtract!O72+DataExtract!T72)</f>
        <v>5271</v>
      </c>
      <c r="L73" s="22">
        <f>DataExtract!U73-DataExtract!U72</f>
        <v>0</v>
      </c>
      <c r="M73" s="22">
        <f>DataExtract!V73-DataExtract!V72</f>
        <v>8814</v>
      </c>
      <c r="N73" s="22">
        <f>DataExtract!W73-DataExtract!W72</f>
        <v>0</v>
      </c>
      <c r="O73" s="22">
        <f>DataExtract!X73-DataExtract!X72</f>
        <v>295156</v>
      </c>
      <c r="P73" s="22">
        <f>DataExtract!Y73-DataExtract!Y72</f>
        <v>102826</v>
      </c>
      <c r="Q73" s="36">
        <f t="shared" si="14"/>
        <v>1.4041113773636358E-3</v>
      </c>
      <c r="R73" s="36">
        <f t="shared" si="15"/>
        <v>3.1435848936182557E-2</v>
      </c>
      <c r="S73" s="36">
        <f t="shared" si="16"/>
        <v>4.1775214533132966E-3</v>
      </c>
      <c r="T73" s="36">
        <f t="shared" si="17"/>
        <v>0.93239957992700939</v>
      </c>
      <c r="U73" s="36">
        <f t="shared" si="18"/>
        <v>3.0582938306131093E-2</v>
      </c>
      <c r="V73" s="34">
        <f t="shared" si="20"/>
        <v>0</v>
      </c>
      <c r="W73" s="34">
        <f t="shared" si="21"/>
        <v>2.1666879713664836E-2</v>
      </c>
      <c r="X73" s="34">
        <f t="shared" si="22"/>
        <v>0</v>
      </c>
      <c r="Y73" s="34">
        <f t="shared" si="23"/>
        <v>0.72556268989862238</v>
      </c>
      <c r="Z73" s="34">
        <f t="shared" si="24"/>
        <v>0.25277043038771274</v>
      </c>
    </row>
    <row r="74" spans="1:26" x14ac:dyDescent="0.25">
      <c r="A74" s="25">
        <v>44774</v>
      </c>
      <c r="B74" s="22">
        <f t="shared" si="19"/>
        <v>6</v>
      </c>
      <c r="C74" s="22">
        <f>DataExtract!B74-DataExtract!B73</f>
        <v>291577</v>
      </c>
      <c r="D74" s="22">
        <f>DataExtract!C74-DataExtract!C73</f>
        <v>24983</v>
      </c>
      <c r="E74" s="22">
        <f>DataExtract!D74-DataExtract!D73</f>
        <v>42456</v>
      </c>
      <c r="F74" s="22">
        <f>DataExtract!E74-DataExtract!E73</f>
        <v>224138</v>
      </c>
      <c r="G74" s="22">
        <f>(DataExtract!K74+DataExtract!P74)-(DataExtract!K73+DataExtract!P73)</f>
        <v>170</v>
      </c>
      <c r="H74" s="22">
        <f>(DataExtract!L74+DataExtract!Q74)-(DataExtract!L73+DataExtract!Q73)</f>
        <v>2838</v>
      </c>
      <c r="I74" s="22">
        <f>(DataExtract!M74+DataExtract!R74)-(DataExtract!M73+DataExtract!R73)</f>
        <v>682</v>
      </c>
      <c r="J74" s="22">
        <f>(DataExtract!N74+DataExtract!S74)-(DataExtract!N73+DataExtract!S73)</f>
        <v>60272</v>
      </c>
      <c r="K74" s="22">
        <f>(DataExtract!O74+DataExtract!T74)-(DataExtract!O73+DataExtract!T73)</f>
        <v>3477</v>
      </c>
      <c r="L74" s="22">
        <f>DataExtract!U74-DataExtract!U73</f>
        <v>0</v>
      </c>
      <c r="M74" s="22">
        <f>DataExtract!V74-DataExtract!V73</f>
        <v>5119</v>
      </c>
      <c r="N74" s="22">
        <f>DataExtract!W74-DataExtract!W73</f>
        <v>0</v>
      </c>
      <c r="O74" s="22">
        <f>DataExtract!X74-DataExtract!X73</f>
        <v>145506</v>
      </c>
      <c r="P74" s="22">
        <f>DataExtract!Y74-DataExtract!Y73</f>
        <v>73513</v>
      </c>
      <c r="Q74" s="36">
        <f t="shared" si="14"/>
        <v>2.5207965717166624E-3</v>
      </c>
      <c r="R74" s="36">
        <f t="shared" si="15"/>
        <v>4.208247453254052E-2</v>
      </c>
      <c r="S74" s="36">
        <f t="shared" si="16"/>
        <v>1.011284271712214E-2</v>
      </c>
      <c r="T74" s="36">
        <f t="shared" si="17"/>
        <v>0.8937261821794511</v>
      </c>
      <c r="U74" s="36">
        <f t="shared" si="18"/>
        <v>5.1557703999169618E-2</v>
      </c>
      <c r="V74" s="34">
        <f t="shared" si="20"/>
        <v>0</v>
      </c>
      <c r="W74" s="34">
        <f t="shared" si="21"/>
        <v>2.2838608357351273E-2</v>
      </c>
      <c r="X74" s="34">
        <f t="shared" si="22"/>
        <v>0</v>
      </c>
      <c r="Y74" s="34">
        <f t="shared" si="23"/>
        <v>0.64918041563679518</v>
      </c>
      <c r="Z74" s="34">
        <f t="shared" si="24"/>
        <v>0.32798097600585352</v>
      </c>
    </row>
    <row r="75" spans="1:26" x14ac:dyDescent="0.25">
      <c r="A75" s="25">
        <v>44781</v>
      </c>
      <c r="B75" s="22">
        <f t="shared" si="19"/>
        <v>7</v>
      </c>
      <c r="C75" s="22">
        <f>DataExtract!B75-DataExtract!B74</f>
        <v>326702</v>
      </c>
      <c r="D75" s="22">
        <f>DataExtract!C75-DataExtract!C74</f>
        <v>31602</v>
      </c>
      <c r="E75" s="22">
        <f>DataExtract!D75-DataExtract!D74</f>
        <v>65175</v>
      </c>
      <c r="F75" s="22">
        <f>DataExtract!E75-DataExtract!E74</f>
        <v>229925</v>
      </c>
      <c r="G75" s="22">
        <f>(DataExtract!K75+DataExtract!P75)-(DataExtract!K74+DataExtract!P74)</f>
        <v>327</v>
      </c>
      <c r="H75" s="22">
        <f>(DataExtract!L75+DataExtract!Q75)-(DataExtract!L74+DataExtract!Q74)</f>
        <v>2415</v>
      </c>
      <c r="I75" s="22">
        <f>(DataExtract!M75+DataExtract!R75)-(DataExtract!M74+DataExtract!R74)</f>
        <v>785</v>
      </c>
      <c r="J75" s="22">
        <f>(DataExtract!N75+DataExtract!S75)-(DataExtract!N74+DataExtract!S74)</f>
        <v>90232</v>
      </c>
      <c r="K75" s="22">
        <f>(DataExtract!O75+DataExtract!T75)-(DataExtract!O74+DataExtract!T74)</f>
        <v>3018</v>
      </c>
      <c r="L75" s="22">
        <f>DataExtract!U75-DataExtract!U74</f>
        <v>0</v>
      </c>
      <c r="M75" s="22">
        <f>DataExtract!V75-DataExtract!V74</f>
        <v>4974</v>
      </c>
      <c r="N75" s="22">
        <f>DataExtract!W75-DataExtract!W74</f>
        <v>0</v>
      </c>
      <c r="O75" s="22">
        <f>DataExtract!X75-DataExtract!X74</f>
        <v>161654</v>
      </c>
      <c r="P75" s="22">
        <f>DataExtract!Y75-DataExtract!Y74</f>
        <v>63297</v>
      </c>
      <c r="Q75" s="36">
        <f t="shared" si="14"/>
        <v>3.3789020118416566E-3</v>
      </c>
      <c r="R75" s="36">
        <f t="shared" si="15"/>
        <v>2.4954276325986548E-2</v>
      </c>
      <c r="S75" s="36">
        <f t="shared" si="16"/>
        <v>8.111431435155048E-3</v>
      </c>
      <c r="T75" s="36">
        <f t="shared" si="17"/>
        <v>0.93237029459479004</v>
      </c>
      <c r="U75" s="36">
        <f t="shared" si="18"/>
        <v>3.1185095632226666E-2</v>
      </c>
      <c r="V75" s="34">
        <f t="shared" si="20"/>
        <v>0</v>
      </c>
      <c r="W75" s="34">
        <f t="shared" si="21"/>
        <v>2.1633141241709251E-2</v>
      </c>
      <c r="X75" s="34">
        <f t="shared" si="22"/>
        <v>0</v>
      </c>
      <c r="Y75" s="34">
        <f t="shared" si="23"/>
        <v>0.70307274111123197</v>
      </c>
      <c r="Z75" s="34">
        <f t="shared" si="24"/>
        <v>0.2752941176470588</v>
      </c>
    </row>
    <row r="76" spans="1:26" x14ac:dyDescent="0.25">
      <c r="A76" s="25">
        <v>44788</v>
      </c>
      <c r="B76" s="22">
        <f t="shared" si="19"/>
        <v>7</v>
      </c>
      <c r="C76" s="22">
        <f>DataExtract!B76-DataExtract!B75</f>
        <v>254840</v>
      </c>
      <c r="D76" s="22">
        <f>DataExtract!C76-DataExtract!C75</f>
        <v>25901</v>
      </c>
      <c r="E76" s="22">
        <f>DataExtract!D76-DataExtract!D75</f>
        <v>41468</v>
      </c>
      <c r="F76" s="22">
        <f>DataExtract!E76-DataExtract!E75</f>
        <v>187471</v>
      </c>
      <c r="G76" s="22">
        <f>(DataExtract!K76+DataExtract!P76)-(DataExtract!K75+DataExtract!P75)</f>
        <v>170</v>
      </c>
      <c r="H76" s="22">
        <f>(DataExtract!L76+DataExtract!Q76)-(DataExtract!L75+DataExtract!Q75)</f>
        <v>1980</v>
      </c>
      <c r="I76" s="22">
        <f>(DataExtract!M76+DataExtract!R76)-(DataExtract!M75+DataExtract!R75)</f>
        <v>1024</v>
      </c>
      <c r="J76" s="22">
        <f>(DataExtract!N76+DataExtract!S76)-(DataExtract!N75+DataExtract!S75)</f>
        <v>61179</v>
      </c>
      <c r="K76" s="22">
        <f>(DataExtract!O76+DataExtract!T76)-(DataExtract!O75+DataExtract!T75)</f>
        <v>3016</v>
      </c>
      <c r="L76" s="22">
        <f>DataExtract!U76-DataExtract!U75</f>
        <v>0</v>
      </c>
      <c r="M76" s="22">
        <f>DataExtract!V76-DataExtract!V75</f>
        <v>2745</v>
      </c>
      <c r="N76" s="22">
        <f>DataExtract!W76-DataExtract!W75</f>
        <v>0</v>
      </c>
      <c r="O76" s="22">
        <f>DataExtract!X76-DataExtract!X75</f>
        <v>120866</v>
      </c>
      <c r="P76" s="22">
        <f>DataExtract!Y76-DataExtract!Y75</f>
        <v>63860</v>
      </c>
      <c r="Q76" s="36">
        <f t="shared" si="14"/>
        <v>2.5234158143953452E-3</v>
      </c>
      <c r="R76" s="36">
        <f t="shared" si="15"/>
        <v>2.9390372426486958E-2</v>
      </c>
      <c r="S76" s="36">
        <f t="shared" si="16"/>
        <v>1.5199869376122549E-2</v>
      </c>
      <c r="T76" s="36">
        <f t="shared" si="17"/>
        <v>0.90811797711113418</v>
      </c>
      <c r="U76" s="36">
        <f t="shared" si="18"/>
        <v>4.4768365271860948E-2</v>
      </c>
      <c r="V76" s="34">
        <f t="shared" si="20"/>
        <v>0</v>
      </c>
      <c r="W76" s="34">
        <f t="shared" si="21"/>
        <v>1.4642264670269002E-2</v>
      </c>
      <c r="X76" s="34">
        <f t="shared" si="22"/>
        <v>0</v>
      </c>
      <c r="Y76" s="34">
        <f t="shared" si="23"/>
        <v>0.64471838310992102</v>
      </c>
      <c r="Z76" s="34">
        <f t="shared" si="24"/>
        <v>0.34063935221981001</v>
      </c>
    </row>
    <row r="77" spans="1:26" x14ac:dyDescent="0.25">
      <c r="A77" s="25">
        <v>44795</v>
      </c>
      <c r="B77" s="22">
        <f t="shared" si="19"/>
        <v>7</v>
      </c>
      <c r="C77" s="22">
        <f>DataExtract!B77-DataExtract!B76</f>
        <v>263931</v>
      </c>
      <c r="D77" s="22">
        <f>DataExtract!C77-DataExtract!C76</f>
        <v>27135</v>
      </c>
      <c r="E77" s="22">
        <f>DataExtract!D77-DataExtract!D76</f>
        <v>55776</v>
      </c>
      <c r="F77" s="22">
        <f>DataExtract!E77-DataExtract!E76</f>
        <v>181020</v>
      </c>
      <c r="G77" s="22">
        <f>(DataExtract!K77+DataExtract!P77)-(DataExtract!K76+DataExtract!P76)</f>
        <v>164</v>
      </c>
      <c r="H77" s="22">
        <f>(DataExtract!L77+DataExtract!Q77)-(DataExtract!L76+DataExtract!Q76)</f>
        <v>2359</v>
      </c>
      <c r="I77" s="22">
        <f>(DataExtract!M77+DataExtract!R77)-(DataExtract!M76+DataExtract!R76)</f>
        <v>1069</v>
      </c>
      <c r="J77" s="22">
        <f>(DataExtract!N77+DataExtract!S77)-(DataExtract!N76+DataExtract!S76)</f>
        <v>77088</v>
      </c>
      <c r="K77" s="22">
        <f>(DataExtract!O77+DataExtract!T77)-(DataExtract!O76+DataExtract!T76)</f>
        <v>2231</v>
      </c>
      <c r="L77" s="22">
        <f>DataExtract!U77-DataExtract!U76</f>
        <v>0</v>
      </c>
      <c r="M77" s="22">
        <f>DataExtract!V77-DataExtract!V76</f>
        <v>2818</v>
      </c>
      <c r="N77" s="22">
        <f>DataExtract!W77-DataExtract!W76</f>
        <v>0</v>
      </c>
      <c r="O77" s="22">
        <f>DataExtract!X77-DataExtract!X76</f>
        <v>138074</v>
      </c>
      <c r="P77" s="22">
        <f>DataExtract!Y77-DataExtract!Y76</f>
        <v>40128</v>
      </c>
      <c r="Q77" s="36">
        <f t="shared" si="14"/>
        <v>1.9780246288188539E-3</v>
      </c>
      <c r="R77" s="36">
        <f t="shared" si="15"/>
        <v>2.8452195727949246E-2</v>
      </c>
      <c r="S77" s="36">
        <f t="shared" si="16"/>
        <v>1.2893343464678993E-2</v>
      </c>
      <c r="T77" s="36">
        <f t="shared" si="17"/>
        <v>0.92976806455114525</v>
      </c>
      <c r="U77" s="36">
        <f t="shared" si="18"/>
        <v>2.6908371627407703E-2</v>
      </c>
      <c r="V77" s="34">
        <f t="shared" si="20"/>
        <v>0</v>
      </c>
      <c r="W77" s="34">
        <f t="shared" si="21"/>
        <v>1.5567340625345266E-2</v>
      </c>
      <c r="X77" s="34">
        <f t="shared" si="22"/>
        <v>0</v>
      </c>
      <c r="Y77" s="34">
        <f t="shared" si="23"/>
        <v>0.76275549663020659</v>
      </c>
      <c r="Z77" s="34">
        <f t="shared" si="24"/>
        <v>0.22167716274444813</v>
      </c>
    </row>
    <row r="78" spans="1:26" x14ac:dyDescent="0.25">
      <c r="A78" s="25">
        <v>44801</v>
      </c>
      <c r="B78" s="22">
        <f t="shared" si="19"/>
        <v>6</v>
      </c>
      <c r="C78" s="22">
        <f>DataExtract!B78-DataExtract!B77</f>
        <v>204228</v>
      </c>
      <c r="D78" s="22">
        <f>DataExtract!C78-DataExtract!C77</f>
        <v>24594</v>
      </c>
      <c r="E78" s="22">
        <f>DataExtract!D78-DataExtract!D77</f>
        <v>43736</v>
      </c>
      <c r="F78" s="22">
        <f>DataExtract!E78-DataExtract!E77</f>
        <v>135898</v>
      </c>
      <c r="G78" s="22">
        <f>(DataExtract!K78+DataExtract!P78)-(DataExtract!K77+DataExtract!P77)</f>
        <v>224</v>
      </c>
      <c r="H78" s="22">
        <f>(DataExtract!L78+DataExtract!Q78)-(DataExtract!L77+DataExtract!Q77)</f>
        <v>2402</v>
      </c>
      <c r="I78" s="22">
        <f>(DataExtract!M78+DataExtract!R78)-(DataExtract!M77+DataExtract!R77)</f>
        <v>1003</v>
      </c>
      <c r="J78" s="22">
        <f>(DataExtract!N78+DataExtract!S78)-(DataExtract!N77+DataExtract!S77)</f>
        <v>63041</v>
      </c>
      <c r="K78" s="22">
        <f>(DataExtract!O78+DataExtract!T78)-(DataExtract!O77+DataExtract!T77)</f>
        <v>1660</v>
      </c>
      <c r="L78" s="22">
        <f>DataExtract!U78-DataExtract!U77</f>
        <v>0</v>
      </c>
      <c r="M78" s="22">
        <f>DataExtract!V78-DataExtract!V77</f>
        <v>2283</v>
      </c>
      <c r="N78" s="22">
        <f>DataExtract!W78-DataExtract!W77</f>
        <v>0</v>
      </c>
      <c r="O78" s="22">
        <f>DataExtract!X78-DataExtract!X77</f>
        <v>116152</v>
      </c>
      <c r="P78" s="22">
        <f>DataExtract!Y78-DataExtract!Y77</f>
        <v>17463</v>
      </c>
      <c r="Q78" s="36">
        <f t="shared" si="14"/>
        <v>3.278208693106981E-3</v>
      </c>
      <c r="R78" s="36">
        <f t="shared" si="15"/>
        <v>3.5152934289477536E-2</v>
      </c>
      <c r="S78" s="36">
        <f t="shared" si="16"/>
        <v>1.4678764817795989E-2</v>
      </c>
      <c r="T78" s="36">
        <f t="shared" si="17"/>
        <v>0.9225962242060588</v>
      </c>
      <c r="U78" s="36">
        <f t="shared" si="18"/>
        <v>2.4293867993560661E-2</v>
      </c>
      <c r="V78" s="34">
        <f t="shared" si="20"/>
        <v>0</v>
      </c>
      <c r="W78" s="34">
        <f t="shared" si="21"/>
        <v>1.6799364229054144E-2</v>
      </c>
      <c r="X78" s="34">
        <f t="shared" si="22"/>
        <v>0</v>
      </c>
      <c r="Y78" s="34">
        <f t="shared" si="23"/>
        <v>0.85469984841572355</v>
      </c>
      <c r="Z78" s="34">
        <f t="shared" si="24"/>
        <v>0.1285007873552223</v>
      </c>
    </row>
    <row r="79" spans="1:26" x14ac:dyDescent="0.25">
      <c r="A79" s="25">
        <v>44808</v>
      </c>
      <c r="B79" s="22">
        <f t="shared" si="19"/>
        <v>7</v>
      </c>
      <c r="C79" s="22">
        <f>DataExtract!B79-DataExtract!B78</f>
        <v>164275</v>
      </c>
      <c r="D79" s="22">
        <f>DataExtract!C79-DataExtract!C78</f>
        <v>21896</v>
      </c>
      <c r="E79" s="22">
        <f>DataExtract!D79-DataExtract!D78</f>
        <v>36725</v>
      </c>
      <c r="F79" s="22">
        <f>DataExtract!E79-DataExtract!E78</f>
        <v>105654</v>
      </c>
      <c r="G79" s="22">
        <f>(DataExtract!K79+DataExtract!P79)-(DataExtract!K78+DataExtract!P78)</f>
        <v>218</v>
      </c>
      <c r="H79" s="22">
        <f>(DataExtract!L79+DataExtract!Q79)-(DataExtract!L78+DataExtract!Q78)</f>
        <v>2229</v>
      </c>
      <c r="I79" s="22">
        <f>(DataExtract!M79+DataExtract!R79)-(DataExtract!M78+DataExtract!R78)</f>
        <v>843</v>
      </c>
      <c r="J79" s="22">
        <f>(DataExtract!N79+DataExtract!S79)-(DataExtract!N78+DataExtract!S78)</f>
        <v>53600</v>
      </c>
      <c r="K79" s="22">
        <f>(DataExtract!O79+DataExtract!T79)-(DataExtract!O78+DataExtract!T78)</f>
        <v>1731</v>
      </c>
      <c r="L79" s="22">
        <f>DataExtract!U79-DataExtract!U78</f>
        <v>0</v>
      </c>
      <c r="M79" s="22">
        <f>DataExtract!V79-DataExtract!V78</f>
        <v>1979</v>
      </c>
      <c r="N79" s="22">
        <f>DataExtract!W79-DataExtract!W78</f>
        <v>0</v>
      </c>
      <c r="O79" s="22">
        <f>DataExtract!X79-DataExtract!X78</f>
        <v>90233</v>
      </c>
      <c r="P79" s="22">
        <f>DataExtract!Y79-DataExtract!Y78</f>
        <v>13442</v>
      </c>
      <c r="Q79" s="36">
        <f t="shared" si="14"/>
        <v>3.7188038416267207E-3</v>
      </c>
      <c r="R79" s="36">
        <f t="shared" si="15"/>
        <v>3.80239163439723E-2</v>
      </c>
      <c r="S79" s="36">
        <f t="shared" si="16"/>
        <v>1.4380512103171218E-2</v>
      </c>
      <c r="T79" s="36">
        <f t="shared" si="17"/>
        <v>0.91434810051005611</v>
      </c>
      <c r="U79" s="36">
        <f t="shared" si="18"/>
        <v>2.9528667201173642E-2</v>
      </c>
      <c r="V79" s="34">
        <f t="shared" si="20"/>
        <v>0</v>
      </c>
      <c r="W79" s="34">
        <f t="shared" si="21"/>
        <v>1.8730951975315654E-2</v>
      </c>
      <c r="X79" s="34">
        <f t="shared" si="22"/>
        <v>0</v>
      </c>
      <c r="Y79" s="34">
        <f t="shared" si="23"/>
        <v>0.85404244041872523</v>
      </c>
      <c r="Z79" s="34">
        <f t="shared" si="24"/>
        <v>0.12722660760595908</v>
      </c>
    </row>
    <row r="80" spans="1:26" x14ac:dyDescent="0.25">
      <c r="A80" s="25">
        <v>44816</v>
      </c>
      <c r="B80" s="22">
        <f t="shared" si="19"/>
        <v>8</v>
      </c>
      <c r="C80" s="22">
        <f>DataExtract!B80-DataExtract!B79</f>
        <v>171306</v>
      </c>
      <c r="D80" s="22">
        <f>DataExtract!C80-DataExtract!C79</f>
        <v>17227</v>
      </c>
      <c r="E80" s="22">
        <f>DataExtract!D80-DataExtract!D79</f>
        <v>28127</v>
      </c>
      <c r="F80" s="22">
        <f>DataExtract!E80-DataExtract!E79</f>
        <v>125952</v>
      </c>
      <c r="G80" s="22">
        <f>(DataExtract!K80+DataExtract!P80)-(DataExtract!K79+DataExtract!P79)</f>
        <v>204</v>
      </c>
      <c r="H80" s="22">
        <f>(DataExtract!L80+DataExtract!Q80)-(DataExtract!L79+DataExtract!Q79)</f>
        <v>1898</v>
      </c>
      <c r="I80" s="22">
        <f>(DataExtract!M80+DataExtract!R80)-(DataExtract!M79+DataExtract!R79)</f>
        <v>934</v>
      </c>
      <c r="J80" s="22">
        <f>(DataExtract!N80+DataExtract!S80)-(DataExtract!N79+DataExtract!S79)</f>
        <v>40941</v>
      </c>
      <c r="K80" s="22">
        <f>(DataExtract!O80+DataExtract!T80)-(DataExtract!O79+DataExtract!T79)</f>
        <v>1377</v>
      </c>
      <c r="L80" s="22">
        <f>DataExtract!U80-DataExtract!U79</f>
        <v>0</v>
      </c>
      <c r="M80" s="22">
        <f>DataExtract!V80-DataExtract!V79</f>
        <v>1425</v>
      </c>
      <c r="N80" s="22">
        <f>DataExtract!W80-DataExtract!W79</f>
        <v>0</v>
      </c>
      <c r="O80" s="22">
        <f>DataExtract!X80-DataExtract!X79</f>
        <v>108004</v>
      </c>
      <c r="P80" s="22">
        <f>DataExtract!Y80-DataExtract!Y79</f>
        <v>16523</v>
      </c>
      <c r="Q80" s="36">
        <f t="shared" si="14"/>
        <v>4.497949464214843E-3</v>
      </c>
      <c r="R80" s="36">
        <f t="shared" si="15"/>
        <v>4.1848569034704769E-2</v>
      </c>
      <c r="S80" s="36">
        <f t="shared" si="16"/>
        <v>2.0593552939101291E-2</v>
      </c>
      <c r="T80" s="36">
        <f t="shared" si="17"/>
        <v>0.90269876967852891</v>
      </c>
      <c r="U80" s="36">
        <f t="shared" si="18"/>
        <v>3.0361158883450191E-2</v>
      </c>
      <c r="V80" s="34">
        <f t="shared" si="20"/>
        <v>0</v>
      </c>
      <c r="W80" s="34">
        <f t="shared" si="21"/>
        <v>1.1313833841463415E-2</v>
      </c>
      <c r="X80" s="34">
        <f t="shared" si="22"/>
        <v>0</v>
      </c>
      <c r="Y80" s="34">
        <f t="shared" si="23"/>
        <v>0.85750127032520329</v>
      </c>
      <c r="Z80" s="34">
        <f t="shared" si="24"/>
        <v>0.13118489583333334</v>
      </c>
    </row>
    <row r="81" spans="1:26" x14ac:dyDescent="0.25">
      <c r="A81" s="25">
        <v>44823</v>
      </c>
      <c r="B81" s="22">
        <f t="shared" si="19"/>
        <v>7</v>
      </c>
      <c r="C81" s="22">
        <f>DataExtract!B81-DataExtract!B80</f>
        <v>135191</v>
      </c>
      <c r="D81" s="22">
        <f>DataExtract!C81-DataExtract!C80</f>
        <v>16349</v>
      </c>
      <c r="E81" s="22">
        <f>DataExtract!D81-DataExtract!D80</f>
        <v>29689</v>
      </c>
      <c r="F81" s="22">
        <f>DataExtract!E81-DataExtract!E80</f>
        <v>89153</v>
      </c>
      <c r="G81" s="22">
        <f>(DataExtract!K81+DataExtract!P81)-(DataExtract!K80+DataExtract!P80)</f>
        <v>190</v>
      </c>
      <c r="H81" s="22">
        <f>(DataExtract!L81+DataExtract!Q81)-(DataExtract!L80+DataExtract!Q80)</f>
        <v>981</v>
      </c>
      <c r="I81" s="22">
        <f>(DataExtract!M81+DataExtract!R81)-(DataExtract!M80+DataExtract!R80)</f>
        <v>665</v>
      </c>
      <c r="J81" s="22">
        <f>(DataExtract!N81+DataExtract!S81)-(DataExtract!N80+DataExtract!S80)</f>
        <v>42261</v>
      </c>
      <c r="K81" s="22">
        <f>(DataExtract!O81+DataExtract!T81)-(DataExtract!O80+DataExtract!T80)</f>
        <v>1941</v>
      </c>
      <c r="L81" s="22">
        <f>DataExtract!U81-DataExtract!U80</f>
        <v>0</v>
      </c>
      <c r="M81" s="22">
        <f>DataExtract!V81-DataExtract!V80</f>
        <v>1205</v>
      </c>
      <c r="N81" s="22">
        <f>DataExtract!W81-DataExtract!W80</f>
        <v>0</v>
      </c>
      <c r="O81" s="22">
        <f>DataExtract!X81-DataExtract!X80</f>
        <v>66308</v>
      </c>
      <c r="P81" s="22">
        <f>DataExtract!Y81-DataExtract!Y80</f>
        <v>21640</v>
      </c>
      <c r="Q81" s="36">
        <f t="shared" si="14"/>
        <v>4.1270255006733564E-3</v>
      </c>
      <c r="R81" s="36">
        <f t="shared" si="15"/>
        <v>2.1308484295581912E-2</v>
      </c>
      <c r="S81" s="36">
        <f t="shared" si="16"/>
        <v>1.4444589252356749E-2</v>
      </c>
      <c r="T81" s="36">
        <f t="shared" si="17"/>
        <v>0.91795907728398285</v>
      </c>
      <c r="U81" s="36">
        <f t="shared" si="18"/>
        <v>4.2160823667405187E-2</v>
      </c>
      <c r="V81" s="34">
        <f t="shared" si="20"/>
        <v>0</v>
      </c>
      <c r="W81" s="34">
        <f t="shared" si="21"/>
        <v>1.3516090316646663E-2</v>
      </c>
      <c r="X81" s="34">
        <f t="shared" si="22"/>
        <v>0</v>
      </c>
      <c r="Y81" s="34">
        <f t="shared" si="23"/>
        <v>0.74375511760681079</v>
      </c>
      <c r="Z81" s="34">
        <f t="shared" si="24"/>
        <v>0.24272879207654258</v>
      </c>
    </row>
    <row r="82" spans="1:26" x14ac:dyDescent="0.25">
      <c r="A82" s="25">
        <v>44830</v>
      </c>
      <c r="B82" s="22">
        <f t="shared" si="19"/>
        <v>7</v>
      </c>
      <c r="C82" s="22">
        <f>DataExtract!B82-DataExtract!B81</f>
        <v>130622</v>
      </c>
      <c r="D82" s="22">
        <f>DataExtract!C82-DataExtract!C81</f>
        <v>17706</v>
      </c>
      <c r="E82" s="22">
        <f>DataExtract!D82-DataExtract!D81</f>
        <v>27918</v>
      </c>
      <c r="F82" s="22">
        <f>DataExtract!E82-DataExtract!E81</f>
        <v>84998</v>
      </c>
      <c r="G82" s="22">
        <f>(DataExtract!K82+DataExtract!P82)-(DataExtract!K81+DataExtract!P81)</f>
        <v>111</v>
      </c>
      <c r="H82" s="22">
        <f>(DataExtract!L82+DataExtract!Q82)-(DataExtract!L81+DataExtract!Q81)</f>
        <v>3193</v>
      </c>
      <c r="I82" s="22">
        <f>(DataExtract!M82+DataExtract!R82)-(DataExtract!M81+DataExtract!R81)</f>
        <v>853</v>
      </c>
      <c r="J82" s="22">
        <f>(DataExtract!N82+DataExtract!S82)-(DataExtract!N81+DataExtract!S81)</f>
        <v>39770</v>
      </c>
      <c r="K82" s="22">
        <f>(DataExtract!O82+DataExtract!T82)-(DataExtract!O81+DataExtract!T81)</f>
        <v>1697</v>
      </c>
      <c r="L82" s="22">
        <f>DataExtract!U82-DataExtract!U81</f>
        <v>0</v>
      </c>
      <c r="M82" s="22">
        <f>DataExtract!V82-DataExtract!V81</f>
        <v>1522</v>
      </c>
      <c r="N82" s="22">
        <f>DataExtract!W82-DataExtract!W81</f>
        <v>0</v>
      </c>
      <c r="O82" s="22">
        <f>DataExtract!X82-DataExtract!X81</f>
        <v>66541</v>
      </c>
      <c r="P82" s="22">
        <f>DataExtract!Y82-DataExtract!Y81</f>
        <v>16935</v>
      </c>
      <c r="Q82" s="36">
        <f t="shared" si="14"/>
        <v>2.4329300368227248E-3</v>
      </c>
      <c r="R82" s="36">
        <f t="shared" si="15"/>
        <v>6.9985095563738386E-2</v>
      </c>
      <c r="S82" s="36">
        <f t="shared" si="16"/>
        <v>1.8696300192880939E-2</v>
      </c>
      <c r="T82" s="36">
        <f t="shared" si="17"/>
        <v>0.87169033841837629</v>
      </c>
      <c r="U82" s="36">
        <f t="shared" si="18"/>
        <v>3.7195335788181662E-2</v>
      </c>
      <c r="V82" s="34">
        <f t="shared" si="20"/>
        <v>0</v>
      </c>
      <c r="W82" s="34">
        <f t="shared" si="21"/>
        <v>1.7906303677733593E-2</v>
      </c>
      <c r="X82" s="34">
        <f t="shared" si="22"/>
        <v>0</v>
      </c>
      <c r="Y82" s="34">
        <f t="shared" si="23"/>
        <v>0.78285371420504013</v>
      </c>
      <c r="Z82" s="34">
        <f t="shared" si="24"/>
        <v>0.19923998211722629</v>
      </c>
    </row>
    <row r="83" spans="1:26" x14ac:dyDescent="0.25">
      <c r="A83" s="25">
        <v>44841</v>
      </c>
      <c r="B83" s="22">
        <f t="shared" si="19"/>
        <v>11</v>
      </c>
      <c r="C83" s="22">
        <f>DataExtract!B83-DataExtract!B82</f>
        <v>164072</v>
      </c>
      <c r="D83" s="22">
        <f>DataExtract!C83-DataExtract!C82</f>
        <v>19620</v>
      </c>
      <c r="E83" s="22">
        <f>DataExtract!D83-DataExtract!D82</f>
        <v>31342</v>
      </c>
      <c r="F83" s="22">
        <f>DataExtract!E83-DataExtract!E82</f>
        <v>113110</v>
      </c>
      <c r="G83" s="22">
        <f>(DataExtract!K83+DataExtract!P83)-(DataExtract!K82+DataExtract!P82)</f>
        <v>129</v>
      </c>
      <c r="H83" s="22">
        <f>(DataExtract!L83+DataExtract!Q83)-(DataExtract!L82+DataExtract!Q82)</f>
        <v>1293</v>
      </c>
      <c r="I83" s="22">
        <f>(DataExtract!M83+DataExtract!R83)-(DataExtract!M82+DataExtract!R82)</f>
        <v>840</v>
      </c>
      <c r="J83" s="22">
        <f>(DataExtract!N83+DataExtract!S83)-(DataExtract!N82+DataExtract!S82)</f>
        <v>45277</v>
      </c>
      <c r="K83" s="22">
        <f>(DataExtract!O83+DataExtract!T83)-(DataExtract!O82+DataExtract!T82)</f>
        <v>3423</v>
      </c>
      <c r="L83" s="22">
        <f>DataExtract!U83-DataExtract!U82</f>
        <v>0</v>
      </c>
      <c r="M83" s="22">
        <f>DataExtract!V83-DataExtract!V82</f>
        <v>2555</v>
      </c>
      <c r="N83" s="22">
        <f>DataExtract!W83-DataExtract!W82</f>
        <v>0</v>
      </c>
      <c r="O83" s="22">
        <f>DataExtract!X83-DataExtract!X82</f>
        <v>83670</v>
      </c>
      <c r="P83" s="22">
        <f>DataExtract!Y83-DataExtract!Y82</f>
        <v>26885</v>
      </c>
      <c r="Q83" s="36">
        <f t="shared" si="14"/>
        <v>2.531297829755504E-3</v>
      </c>
      <c r="R83" s="36">
        <f t="shared" si="15"/>
        <v>2.5371845688944704E-2</v>
      </c>
      <c r="S83" s="36">
        <f t="shared" si="16"/>
        <v>1.6482869589105609E-2</v>
      </c>
      <c r="T83" s="36">
        <f t="shared" si="17"/>
        <v>0.88844629331658886</v>
      </c>
      <c r="U83" s="36">
        <f t="shared" si="18"/>
        <v>6.7167693575605356E-2</v>
      </c>
      <c r="V83" s="34">
        <f t="shared" si="20"/>
        <v>0</v>
      </c>
      <c r="W83" s="34">
        <f t="shared" si="21"/>
        <v>2.2588630536645744E-2</v>
      </c>
      <c r="X83" s="34">
        <f t="shared" si="22"/>
        <v>0</v>
      </c>
      <c r="Y83" s="34">
        <f t="shared" si="23"/>
        <v>0.73972239412960838</v>
      </c>
      <c r="Z83" s="34">
        <f t="shared" si="24"/>
        <v>0.23768897533374592</v>
      </c>
    </row>
    <row r="84" spans="1:26" x14ac:dyDescent="0.25">
      <c r="A84" s="25">
        <v>44855</v>
      </c>
      <c r="B84" s="22">
        <f t="shared" si="19"/>
        <v>14</v>
      </c>
      <c r="C84" s="22">
        <f>DataExtract!B84-DataExtract!B83</f>
        <v>117766</v>
      </c>
      <c r="D84" s="22">
        <f>DataExtract!C84-DataExtract!C83</f>
        <v>14795</v>
      </c>
      <c r="E84" s="22">
        <f>DataExtract!D84-DataExtract!D83</f>
        <v>26403</v>
      </c>
      <c r="F84" s="22">
        <f>DataExtract!E84-DataExtract!E83</f>
        <v>76568</v>
      </c>
      <c r="G84" s="22">
        <f>(DataExtract!K84+DataExtract!P84)-(DataExtract!K83+DataExtract!P83)</f>
        <v>38</v>
      </c>
      <c r="H84" s="22">
        <f>(DataExtract!L84+DataExtract!Q84)-(DataExtract!L83+DataExtract!Q83)</f>
        <v>1727</v>
      </c>
      <c r="I84" s="22">
        <f>(DataExtract!M84+DataExtract!R84)-(DataExtract!M83+DataExtract!R83)</f>
        <v>562</v>
      </c>
      <c r="J84" s="22">
        <f>(DataExtract!N84+DataExtract!S84)-(DataExtract!N83+DataExtract!S83)</f>
        <v>35459</v>
      </c>
      <c r="K84" s="22">
        <f>(DataExtract!O84+DataExtract!T84)-(DataExtract!O83+DataExtract!T83)</f>
        <v>3412</v>
      </c>
      <c r="L84" s="22">
        <f>DataExtract!U84-DataExtract!U83</f>
        <v>0</v>
      </c>
      <c r="M84" s="22">
        <f>DataExtract!V84-DataExtract!V83</f>
        <v>892</v>
      </c>
      <c r="N84" s="22">
        <f>DataExtract!W84-DataExtract!W83</f>
        <v>0</v>
      </c>
      <c r="O84" s="22">
        <f>DataExtract!X84-DataExtract!X83</f>
        <v>57275</v>
      </c>
      <c r="P84" s="22">
        <f>DataExtract!Y84-DataExtract!Y83</f>
        <v>18401</v>
      </c>
      <c r="Q84" s="36">
        <f t="shared" si="14"/>
        <v>9.2237487256662941E-4</v>
      </c>
      <c r="R84" s="36">
        <f t="shared" si="15"/>
        <v>4.1919510655857077E-2</v>
      </c>
      <c r="S84" s="36">
        <f t="shared" si="16"/>
        <v>1.3641438904801203E-2</v>
      </c>
      <c r="T84" s="36">
        <f t="shared" si="17"/>
        <v>0.86069712121947672</v>
      </c>
      <c r="U84" s="36">
        <f t="shared" si="18"/>
        <v>8.2819554347298416E-2</v>
      </c>
      <c r="V84" s="34">
        <f t="shared" si="20"/>
        <v>0</v>
      </c>
      <c r="W84" s="34">
        <f t="shared" si="21"/>
        <v>1.1649775363075959E-2</v>
      </c>
      <c r="X84" s="34">
        <f t="shared" si="22"/>
        <v>0</v>
      </c>
      <c r="Y84" s="34">
        <f t="shared" si="23"/>
        <v>0.74802789677149728</v>
      </c>
      <c r="Z84" s="34">
        <f t="shared" si="24"/>
        <v>0.24032232786542682</v>
      </c>
    </row>
    <row r="85" spans="1:26" x14ac:dyDescent="0.25">
      <c r="A85" s="25">
        <v>44862</v>
      </c>
      <c r="B85" s="22">
        <f t="shared" si="19"/>
        <v>7</v>
      </c>
      <c r="C85" s="22">
        <f>DataExtract!B85-DataExtract!B84</f>
        <v>55643</v>
      </c>
      <c r="D85" s="22">
        <f>DataExtract!C85-DataExtract!C84</f>
        <v>7380</v>
      </c>
      <c r="E85" s="22">
        <f>DataExtract!D85-DataExtract!D84</f>
        <v>15697</v>
      </c>
      <c r="F85" s="22">
        <f>DataExtract!E85-DataExtract!E84</f>
        <v>32566</v>
      </c>
      <c r="G85" s="22">
        <f>(DataExtract!K85+DataExtract!P85)-(DataExtract!K84+DataExtract!P84)</f>
        <v>11</v>
      </c>
      <c r="H85" s="22">
        <f>(DataExtract!L85+DataExtract!Q85)-(DataExtract!L84+DataExtract!Q84)</f>
        <v>979</v>
      </c>
      <c r="I85" s="22">
        <f>(DataExtract!M85+DataExtract!R85)-(DataExtract!M84+DataExtract!R84)</f>
        <v>416</v>
      </c>
      <c r="J85" s="22">
        <f>(DataExtract!N85+DataExtract!S85)-(DataExtract!N84+DataExtract!S84)</f>
        <v>20592</v>
      </c>
      <c r="K85" s="22">
        <f>(DataExtract!O85+DataExtract!T85)-(DataExtract!O84+DataExtract!T84)</f>
        <v>1079</v>
      </c>
      <c r="L85" s="22">
        <f>DataExtract!U85-DataExtract!U84</f>
        <v>0</v>
      </c>
      <c r="M85" s="22">
        <f>DataExtract!V85-DataExtract!V84</f>
        <v>823</v>
      </c>
      <c r="N85" s="22">
        <f>DataExtract!W85-DataExtract!W84</f>
        <v>0</v>
      </c>
      <c r="O85" s="22">
        <f>DataExtract!X85-DataExtract!X84</f>
        <v>25374</v>
      </c>
      <c r="P85" s="22">
        <f>DataExtract!Y85-DataExtract!Y84</f>
        <v>6369</v>
      </c>
      <c r="Q85" s="36">
        <f t="shared" si="14"/>
        <v>4.7666507778307407E-4</v>
      </c>
      <c r="R85" s="36">
        <f t="shared" si="15"/>
        <v>4.2423191922693594E-2</v>
      </c>
      <c r="S85" s="36">
        <f t="shared" si="16"/>
        <v>1.8026606577978072E-2</v>
      </c>
      <c r="T85" s="36">
        <f t="shared" si="17"/>
        <v>0.89231702560991466</v>
      </c>
      <c r="U85" s="36">
        <f t="shared" si="18"/>
        <v>4.6756510811630625E-2</v>
      </c>
      <c r="V85" s="34">
        <f t="shared" si="20"/>
        <v>0</v>
      </c>
      <c r="W85" s="34">
        <f t="shared" si="21"/>
        <v>2.5271755818952281E-2</v>
      </c>
      <c r="X85" s="34">
        <f t="shared" si="22"/>
        <v>0</v>
      </c>
      <c r="Y85" s="34">
        <f t="shared" si="23"/>
        <v>0.77915617515199898</v>
      </c>
      <c r="Z85" s="34">
        <f t="shared" si="24"/>
        <v>0.1955720690290487</v>
      </c>
    </row>
    <row r="86" spans="1:26" x14ac:dyDescent="0.25">
      <c r="A86" s="21"/>
      <c r="B86" s="13"/>
    </row>
    <row r="87" spans="1:26" x14ac:dyDescent="0.25">
      <c r="A87" s="21"/>
      <c r="B87" s="13"/>
    </row>
    <row r="88" spans="1:26" x14ac:dyDescent="0.25">
      <c r="A88" s="21"/>
      <c r="B88" s="21"/>
    </row>
    <row r="89" spans="1:26" x14ac:dyDescent="0.25">
      <c r="A89" s="21"/>
      <c r="B89" s="21"/>
    </row>
    <row r="90" spans="1:26" x14ac:dyDescent="0.25">
      <c r="A90" s="21"/>
      <c r="B90" s="21"/>
    </row>
    <row r="91" spans="1:26" x14ac:dyDescent="0.25">
      <c r="A91" s="21"/>
      <c r="B91" s="21"/>
    </row>
    <row r="92" spans="1:26" x14ac:dyDescent="0.25">
      <c r="A92" s="21"/>
      <c r="B92" s="21"/>
    </row>
    <row r="93" spans="1:26" x14ac:dyDescent="0.25">
      <c r="A93" s="21"/>
      <c r="B93" s="21"/>
    </row>
    <row r="94" spans="1:26" x14ac:dyDescent="0.25">
      <c r="A94" s="21"/>
      <c r="B94" s="21"/>
    </row>
    <row r="95" spans="1:26" x14ac:dyDescent="0.25">
      <c r="A95" s="21"/>
      <c r="B95" s="21"/>
    </row>
    <row r="96" spans="1:26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</row>
    <row r="129" spans="1:1" x14ac:dyDescent="0.25">
      <c r="A129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CC6E-78F2-4666-A41A-B9FFAEB53213}">
  <dimension ref="A1:AQ129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9" sqref="P9"/>
    </sheetView>
  </sheetViews>
  <sheetFormatPr baseColWidth="10" defaultColWidth="8.6640625" defaultRowHeight="19" x14ac:dyDescent="0.25"/>
  <cols>
    <col min="1" max="1" width="12.83203125" style="4" bestFit="1" customWidth="1"/>
    <col min="2" max="2" width="13.83203125" style="4" bestFit="1" customWidth="1"/>
    <col min="3" max="3" width="12.5" style="4" bestFit="1" customWidth="1"/>
    <col min="4" max="4" width="14.5" style="4" bestFit="1" customWidth="1"/>
    <col min="5" max="5" width="12.83203125" style="5" bestFit="1" customWidth="1"/>
    <col min="6" max="9" width="12.5" style="4" bestFit="1" customWidth="1"/>
    <col min="10" max="10" width="16.5" style="4" bestFit="1" customWidth="1"/>
    <col min="11" max="12" width="14.1640625" style="6" bestFit="1" customWidth="1"/>
    <col min="13" max="13" width="12.6640625" style="6" bestFit="1" customWidth="1"/>
    <col min="14" max="14" width="17.33203125" style="6" bestFit="1" customWidth="1"/>
    <col min="15" max="15" width="15.5" style="6" bestFit="1" customWidth="1"/>
    <col min="16" max="16" width="11.83203125" style="4" bestFit="1" customWidth="1"/>
    <col min="17" max="17" width="12.5" style="4" bestFit="1" customWidth="1"/>
    <col min="18" max="18" width="12.1640625" style="4" bestFit="1" customWidth="1"/>
    <col min="19" max="19" width="12.5" style="4" bestFit="1" customWidth="1"/>
    <col min="20" max="20" width="19.5" style="4" bestFit="1" customWidth="1"/>
    <col min="21" max="21" width="11" style="4" customWidth="1"/>
    <col min="22" max="22" width="12.6640625" style="4" bestFit="1" customWidth="1"/>
    <col min="23" max="23" width="11.1640625" style="4" bestFit="1" customWidth="1"/>
    <col min="24" max="24" width="12.5" style="4" bestFit="1" customWidth="1"/>
    <col min="25" max="25" width="17.83203125" style="4" bestFit="1" customWidth="1"/>
    <col min="26" max="26" width="7.5" style="5" customWidth="1"/>
    <col min="27" max="27" width="9.1640625" style="4" customWidth="1"/>
    <col min="28" max="28" width="10" style="6" customWidth="1"/>
    <col min="29" max="29" width="8.33203125" style="4" customWidth="1"/>
    <col min="30" max="30" width="7.1640625" style="4" customWidth="1"/>
    <col min="31" max="31" width="17.83203125" style="4" bestFit="1" customWidth="1"/>
    <col min="32" max="32" width="21.33203125" style="4" bestFit="1" customWidth="1"/>
    <col min="33" max="33" width="17.83203125" style="4" bestFit="1" customWidth="1"/>
    <col min="34" max="34" width="21.33203125" style="4" bestFit="1" customWidth="1"/>
    <col min="35" max="35" width="18.83203125" style="4" bestFit="1" customWidth="1"/>
    <col min="36" max="36" width="13.83203125" style="4" bestFit="1" customWidth="1"/>
    <col min="37" max="37" width="17.33203125" style="4" bestFit="1" customWidth="1"/>
    <col min="38" max="38" width="14.83203125" style="4" bestFit="1" customWidth="1"/>
    <col min="39" max="43" width="8.83203125" style="4" bestFit="1" customWidth="1"/>
    <col min="44" max="16384" width="8.6640625" style="4"/>
  </cols>
  <sheetData>
    <row r="1" spans="1:38" s="31" customForma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28" t="s">
        <v>4</v>
      </c>
      <c r="F1" s="27" t="s">
        <v>13</v>
      </c>
      <c r="G1" s="27" t="s">
        <v>14</v>
      </c>
      <c r="H1" s="27" t="s">
        <v>15</v>
      </c>
      <c r="I1" s="27" t="s">
        <v>16</v>
      </c>
      <c r="J1" s="27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29" t="s">
        <v>22</v>
      </c>
      <c r="P1" s="27" t="s">
        <v>23</v>
      </c>
      <c r="Q1" s="27" t="s">
        <v>24</v>
      </c>
      <c r="R1" s="27" t="s">
        <v>25</v>
      </c>
      <c r="S1" s="27" t="s">
        <v>26</v>
      </c>
      <c r="T1" s="27" t="s">
        <v>27</v>
      </c>
      <c r="U1" s="27" t="s">
        <v>28</v>
      </c>
      <c r="V1" s="27" t="s">
        <v>29</v>
      </c>
      <c r="W1" s="27" t="s">
        <v>30</v>
      </c>
      <c r="X1" s="27" t="s">
        <v>31</v>
      </c>
      <c r="Y1" s="27" t="s">
        <v>32</v>
      </c>
      <c r="Z1" s="39" t="s">
        <v>48</v>
      </c>
      <c r="AA1" s="40"/>
      <c r="AB1" s="40"/>
      <c r="AC1" s="40"/>
      <c r="AD1" s="30"/>
      <c r="AE1" s="30" t="s">
        <v>9</v>
      </c>
      <c r="AF1" s="30" t="s">
        <v>10</v>
      </c>
      <c r="AG1" s="30" t="s">
        <v>5</v>
      </c>
      <c r="AH1" s="30" t="s">
        <v>6</v>
      </c>
      <c r="AI1" s="30" t="s">
        <v>11</v>
      </c>
      <c r="AJ1" s="30" t="s">
        <v>7</v>
      </c>
      <c r="AK1" s="30" t="s">
        <v>8</v>
      </c>
      <c r="AL1" s="30" t="s">
        <v>12</v>
      </c>
    </row>
    <row r="2" spans="1:38" x14ac:dyDescent="0.25">
      <c r="A2" s="24">
        <v>44255</v>
      </c>
      <c r="B2" s="22">
        <v>0</v>
      </c>
      <c r="C2" s="22">
        <v>0</v>
      </c>
      <c r="D2" s="22">
        <v>0</v>
      </c>
      <c r="E2" s="22">
        <v>0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  <c r="Q2" s="23"/>
      <c r="R2" s="23"/>
      <c r="S2" s="23"/>
      <c r="T2" s="23"/>
      <c r="U2" s="23"/>
      <c r="V2" s="23"/>
      <c r="W2" s="23"/>
      <c r="X2" s="23"/>
      <c r="Y2" s="23"/>
      <c r="Z2" s="5" t="b">
        <f t="shared" ref="Z2:Z33" si="0">SUM(C2:E2)=B2</f>
        <v>1</v>
      </c>
      <c r="AA2" s="17"/>
      <c r="AB2" s="18"/>
      <c r="AC2" s="5"/>
      <c r="AD2" s="17"/>
      <c r="AE2" s="17"/>
      <c r="AF2" s="17"/>
      <c r="AG2" s="17"/>
      <c r="AH2" s="17"/>
      <c r="AI2" s="17"/>
      <c r="AJ2" s="17"/>
      <c r="AK2" s="17"/>
      <c r="AL2" s="17"/>
    </row>
    <row r="3" spans="1:38" x14ac:dyDescent="0.25">
      <c r="A3" s="25">
        <v>44263</v>
      </c>
      <c r="B3" s="22">
        <v>29900</v>
      </c>
      <c r="C3" s="22">
        <v>29900</v>
      </c>
      <c r="D3" s="22">
        <v>0</v>
      </c>
      <c r="E3" s="22">
        <v>0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  <c r="Q3" s="23"/>
      <c r="R3" s="23"/>
      <c r="S3" s="23"/>
      <c r="T3" s="23"/>
      <c r="U3" s="23"/>
      <c r="V3" s="23"/>
      <c r="W3" s="23"/>
      <c r="X3" s="23"/>
      <c r="Y3" s="23"/>
      <c r="Z3" s="5" t="b">
        <f t="shared" si="0"/>
        <v>1</v>
      </c>
      <c r="AA3" s="17"/>
      <c r="AB3" s="18"/>
      <c r="AC3" s="5"/>
      <c r="AD3" s="17"/>
      <c r="AE3" s="17"/>
      <c r="AF3" s="17"/>
      <c r="AG3" s="17"/>
      <c r="AH3" s="17"/>
      <c r="AI3" s="17"/>
      <c r="AJ3" s="17"/>
      <c r="AK3" s="17"/>
      <c r="AL3" s="17"/>
    </row>
    <row r="4" spans="1:38" x14ac:dyDescent="0.25">
      <c r="A4" s="25">
        <v>44270</v>
      </c>
      <c r="B4" s="22">
        <v>50388</v>
      </c>
      <c r="C4" s="22">
        <v>50388</v>
      </c>
      <c r="D4" s="22">
        <v>0</v>
      </c>
      <c r="E4" s="22">
        <v>0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6"/>
      <c r="Q4" s="26"/>
      <c r="R4" s="26"/>
      <c r="S4" s="26"/>
      <c r="T4" s="26"/>
      <c r="U4" s="26"/>
      <c r="V4" s="26"/>
      <c r="W4" s="26"/>
      <c r="X4" s="26"/>
      <c r="Y4" s="26"/>
      <c r="Z4" s="5" t="b">
        <f t="shared" si="0"/>
        <v>1</v>
      </c>
      <c r="AC4" s="5"/>
    </row>
    <row r="5" spans="1:38" x14ac:dyDescent="0.25">
      <c r="A5" s="24">
        <v>44277</v>
      </c>
      <c r="B5" s="22">
        <v>85241</v>
      </c>
      <c r="C5" s="22">
        <v>82812</v>
      </c>
      <c r="D5" s="22">
        <v>2429</v>
      </c>
      <c r="E5" s="22">
        <v>0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6"/>
      <c r="Q5" s="26"/>
      <c r="R5" s="26"/>
      <c r="S5" s="26"/>
      <c r="T5" s="26"/>
      <c r="U5" s="26"/>
      <c r="V5" s="26"/>
      <c r="W5" s="26"/>
      <c r="X5" s="26"/>
      <c r="Y5" s="26"/>
      <c r="Z5" s="5" t="b">
        <f t="shared" si="0"/>
        <v>1</v>
      </c>
      <c r="AC5" s="5"/>
    </row>
    <row r="6" spans="1:38" x14ac:dyDescent="0.25">
      <c r="A6" s="25">
        <v>44284</v>
      </c>
      <c r="B6" s="22">
        <v>166358</v>
      </c>
      <c r="C6" s="22">
        <v>141081</v>
      </c>
      <c r="D6" s="22">
        <v>25277</v>
      </c>
      <c r="E6" s="22">
        <v>0</v>
      </c>
      <c r="F6" s="22">
        <f>B6-G6</f>
        <v>155795</v>
      </c>
      <c r="G6" s="22">
        <f>10559+4</f>
        <v>10563</v>
      </c>
      <c r="H6" s="22">
        <v>0</v>
      </c>
      <c r="I6" s="22">
        <v>0</v>
      </c>
      <c r="J6" s="22">
        <v>0</v>
      </c>
      <c r="K6" s="22">
        <f>F6</f>
        <v>155795</v>
      </c>
      <c r="L6" s="22">
        <f>G6</f>
        <v>10563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/>
      <c r="V6" s="22"/>
      <c r="W6" s="22"/>
      <c r="X6" s="22"/>
      <c r="Y6" s="22"/>
      <c r="Z6" s="5" t="b">
        <f t="shared" si="0"/>
        <v>1</v>
      </c>
      <c r="AA6" s="6" t="b">
        <f>SUM(F6:J6)=B6</f>
        <v>1</v>
      </c>
      <c r="AC6" s="5"/>
    </row>
    <row r="7" spans="1:38" x14ac:dyDescent="0.25">
      <c r="A7" s="25">
        <v>44291</v>
      </c>
      <c r="B7" s="22">
        <v>294881</v>
      </c>
      <c r="C7" s="22">
        <v>247850</v>
      </c>
      <c r="D7" s="22">
        <v>47031</v>
      </c>
      <c r="E7" s="22">
        <v>0</v>
      </c>
      <c r="F7" s="22">
        <f>205832+47031</f>
        <v>252863</v>
      </c>
      <c r="G7" s="22">
        <v>42018</v>
      </c>
      <c r="H7" s="22">
        <v>0</v>
      </c>
      <c r="I7" s="22">
        <v>0</v>
      </c>
      <c r="J7" s="22">
        <v>0</v>
      </c>
      <c r="K7" s="22">
        <v>205832</v>
      </c>
      <c r="L7" s="22">
        <v>42018</v>
      </c>
      <c r="M7" s="22">
        <v>0</v>
      </c>
      <c r="N7" s="22">
        <v>0</v>
      </c>
      <c r="O7" s="22">
        <v>0</v>
      </c>
      <c r="P7" s="22">
        <v>47031</v>
      </c>
      <c r="Q7" s="22">
        <v>0</v>
      </c>
      <c r="R7" s="22">
        <v>0</v>
      </c>
      <c r="S7" s="22">
        <v>0</v>
      </c>
      <c r="T7" s="22">
        <v>0</v>
      </c>
      <c r="U7" s="22"/>
      <c r="V7" s="22"/>
      <c r="W7" s="22"/>
      <c r="X7" s="22"/>
      <c r="Y7" s="22"/>
      <c r="Z7" s="5" t="b">
        <f t="shared" si="0"/>
        <v>1</v>
      </c>
      <c r="AA7" s="6" t="b">
        <f>SUM(F7:J7)=B7</f>
        <v>1</v>
      </c>
      <c r="AB7" s="6" t="b">
        <f>SUM(K7:O7)=C7</f>
        <v>1</v>
      </c>
      <c r="AC7" s="5" t="b">
        <f>SUM(P7:T7)=D7</f>
        <v>1</v>
      </c>
    </row>
    <row r="8" spans="1:38" x14ac:dyDescent="0.25">
      <c r="A8" s="25">
        <v>44298</v>
      </c>
      <c r="B8" s="22">
        <v>578532</v>
      </c>
      <c r="C8" s="22">
        <v>505215</v>
      </c>
      <c r="D8" s="22">
        <v>73317</v>
      </c>
      <c r="E8" s="22">
        <v>0</v>
      </c>
      <c r="F8" s="22">
        <f>450939+73317</f>
        <v>524256</v>
      </c>
      <c r="G8" s="22">
        <v>54276</v>
      </c>
      <c r="H8" s="22">
        <v>0</v>
      </c>
      <c r="I8" s="22">
        <v>0</v>
      </c>
      <c r="J8" s="22">
        <v>0</v>
      </c>
      <c r="K8" s="22">
        <v>450939</v>
      </c>
      <c r="L8" s="22">
        <v>54276</v>
      </c>
      <c r="M8" s="22">
        <v>0</v>
      </c>
      <c r="N8" s="22">
        <v>0</v>
      </c>
      <c r="O8" s="22">
        <v>0</v>
      </c>
      <c r="P8" s="22">
        <v>73317</v>
      </c>
      <c r="Q8" s="22">
        <v>0</v>
      </c>
      <c r="R8" s="22">
        <v>0</v>
      </c>
      <c r="S8" s="22">
        <v>0</v>
      </c>
      <c r="T8" s="22">
        <v>0</v>
      </c>
      <c r="U8" s="22"/>
      <c r="V8" s="22"/>
      <c r="W8" s="22"/>
      <c r="X8" s="22"/>
      <c r="Y8" s="22"/>
      <c r="Z8" s="5" t="b">
        <f t="shared" si="0"/>
        <v>1</v>
      </c>
      <c r="AA8" s="6" t="b">
        <f>SUM(F8:J8)=B8</f>
        <v>1</v>
      </c>
      <c r="AB8" s="6" t="b">
        <f>SUM(K8:O8)=C8</f>
        <v>1</v>
      </c>
      <c r="AC8" s="5" t="b">
        <f>SUM(P8:T8)=D8</f>
        <v>1</v>
      </c>
    </row>
    <row r="9" spans="1:38" x14ac:dyDescent="0.25">
      <c r="A9" s="25">
        <v>44305</v>
      </c>
      <c r="B9" s="22">
        <v>666210</v>
      </c>
      <c r="C9" s="22">
        <v>571825</v>
      </c>
      <c r="D9" s="22">
        <v>94385</v>
      </c>
      <c r="E9" s="22">
        <v>0</v>
      </c>
      <c r="F9" s="22">
        <f>514363+94385</f>
        <v>608748</v>
      </c>
      <c r="G9" s="22">
        <v>57462</v>
      </c>
      <c r="H9" s="22">
        <v>0</v>
      </c>
      <c r="I9" s="22">
        <v>0</v>
      </c>
      <c r="J9" s="22">
        <v>0</v>
      </c>
      <c r="K9" s="22">
        <v>514363</v>
      </c>
      <c r="L9" s="22">
        <v>57462</v>
      </c>
      <c r="M9" s="22">
        <v>0</v>
      </c>
      <c r="N9" s="22">
        <v>0</v>
      </c>
      <c r="O9" s="22">
        <v>0</v>
      </c>
      <c r="P9" s="22">
        <v>94385</v>
      </c>
      <c r="Q9" s="22">
        <v>0</v>
      </c>
      <c r="R9" s="22">
        <v>0</v>
      </c>
      <c r="S9" s="22">
        <v>0</v>
      </c>
      <c r="T9" s="22">
        <v>0</v>
      </c>
      <c r="U9" s="22"/>
      <c r="V9" s="22"/>
      <c r="W9" s="22"/>
      <c r="X9" s="22"/>
      <c r="Y9" s="22"/>
      <c r="Z9" s="5" t="b">
        <f t="shared" si="0"/>
        <v>1</v>
      </c>
      <c r="AA9" s="6" t="b">
        <f>SUM(F9:J9)=B9</f>
        <v>1</v>
      </c>
      <c r="AB9" s="6" t="b">
        <f>SUM(K9:O9)=C9</f>
        <v>1</v>
      </c>
      <c r="AC9" s="5" t="b">
        <f>SUM(P9:T9)=D9</f>
        <v>1</v>
      </c>
    </row>
    <row r="10" spans="1:38" s="19" customFormat="1" x14ac:dyDescent="0.25">
      <c r="A10" s="25">
        <v>44312</v>
      </c>
      <c r="B10" s="22">
        <v>1227032</v>
      </c>
      <c r="C10" s="22">
        <v>1012388</v>
      </c>
      <c r="D10" s="22">
        <v>214644</v>
      </c>
      <c r="E10" s="22">
        <v>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5" t="b">
        <f t="shared" si="0"/>
        <v>1</v>
      </c>
      <c r="AA10" s="6"/>
      <c r="AB10" s="6"/>
      <c r="AC10" s="20"/>
    </row>
    <row r="11" spans="1:38" s="19" customFormat="1" x14ac:dyDescent="0.25">
      <c r="A11" s="25">
        <v>44319</v>
      </c>
      <c r="B11" s="22">
        <v>1498617</v>
      </c>
      <c r="C11" s="22">
        <v>1106071</v>
      </c>
      <c r="D11" s="22">
        <v>392546</v>
      </c>
      <c r="E11" s="22">
        <v>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5" t="b">
        <f t="shared" si="0"/>
        <v>1</v>
      </c>
      <c r="AA11" s="6"/>
      <c r="AB11" s="6"/>
      <c r="AC11" s="20"/>
    </row>
    <row r="12" spans="1:38" s="19" customFormat="1" x14ac:dyDescent="0.25">
      <c r="A12" s="25">
        <v>44326</v>
      </c>
      <c r="B12" s="22">
        <v>1898454</v>
      </c>
      <c r="C12" s="22">
        <v>1365992</v>
      </c>
      <c r="D12" s="22">
        <v>532462</v>
      </c>
      <c r="E12" s="22">
        <v>0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5" t="b">
        <f t="shared" si="0"/>
        <v>1</v>
      </c>
      <c r="AA12" s="6"/>
      <c r="AB12" s="6"/>
      <c r="AC12" s="20"/>
    </row>
    <row r="13" spans="1:38" x14ac:dyDescent="0.25">
      <c r="A13" s="25">
        <v>44333</v>
      </c>
      <c r="B13" s="22">
        <v>2340995</v>
      </c>
      <c r="C13" s="22">
        <v>1521034</v>
      </c>
      <c r="D13" s="22">
        <v>819961</v>
      </c>
      <c r="E13" s="22">
        <v>0</v>
      </c>
      <c r="F13" s="22">
        <f>1414131+817744</f>
        <v>2231875</v>
      </c>
      <c r="G13" s="22">
        <f>106903+2217</f>
        <v>109120</v>
      </c>
      <c r="H13" s="22">
        <v>0</v>
      </c>
      <c r="I13" s="22">
        <v>0</v>
      </c>
      <c r="J13" s="22">
        <v>0</v>
      </c>
      <c r="K13" s="22">
        <v>1414131</v>
      </c>
      <c r="L13" s="22">
        <v>106903</v>
      </c>
      <c r="M13" s="22">
        <v>0</v>
      </c>
      <c r="N13" s="22">
        <v>0</v>
      </c>
      <c r="O13" s="22">
        <v>0</v>
      </c>
      <c r="P13" s="22">
        <v>817744</v>
      </c>
      <c r="Q13" s="22">
        <v>2217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5" t="b">
        <f t="shared" si="0"/>
        <v>1</v>
      </c>
      <c r="AA13" s="6" t="b">
        <f t="shared" ref="AA13:AA44" si="1">SUM(F13:J13)=B13</f>
        <v>1</v>
      </c>
      <c r="AB13" s="6" t="b">
        <f t="shared" ref="AB13:AB44" si="2">SUM(K13:O13)=C13</f>
        <v>1</v>
      </c>
      <c r="AC13" s="5" t="b">
        <f t="shared" ref="AC13:AC44" si="3">SUM(P13:T13)=D13</f>
        <v>1</v>
      </c>
    </row>
    <row r="14" spans="1:38" x14ac:dyDescent="0.25">
      <c r="A14" s="25">
        <v>44340</v>
      </c>
      <c r="B14" s="22">
        <v>3024313</v>
      </c>
      <c r="C14" s="22">
        <v>2044123</v>
      </c>
      <c r="D14" s="22">
        <v>980190</v>
      </c>
      <c r="E14" s="22">
        <v>0</v>
      </c>
      <c r="F14" s="22">
        <f>1923847+968816</f>
        <v>2892663</v>
      </c>
      <c r="G14" s="22">
        <f>120276+11374</f>
        <v>131650</v>
      </c>
      <c r="H14" s="22">
        <v>0</v>
      </c>
      <c r="I14" s="22">
        <v>0</v>
      </c>
      <c r="J14" s="22">
        <v>0</v>
      </c>
      <c r="K14" s="22">
        <v>1923847</v>
      </c>
      <c r="L14" s="22">
        <v>120276</v>
      </c>
      <c r="M14" s="22">
        <v>0</v>
      </c>
      <c r="N14" s="22">
        <v>0</v>
      </c>
      <c r="O14" s="22">
        <v>0</v>
      </c>
      <c r="P14" s="22">
        <v>968816</v>
      </c>
      <c r="Q14" s="22">
        <v>11374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5" t="b">
        <f t="shared" si="0"/>
        <v>1</v>
      </c>
      <c r="AA14" s="6" t="b">
        <f t="shared" si="1"/>
        <v>1</v>
      </c>
      <c r="AB14" s="6" t="b">
        <f t="shared" si="2"/>
        <v>1</v>
      </c>
      <c r="AC14" s="5" t="b">
        <f t="shared" si="3"/>
        <v>1</v>
      </c>
    </row>
    <row r="15" spans="1:38" x14ac:dyDescent="0.25">
      <c r="A15" s="25">
        <v>44347</v>
      </c>
      <c r="B15" s="22">
        <v>3664859</v>
      </c>
      <c r="C15" s="22">
        <v>2539491</v>
      </c>
      <c r="D15" s="22">
        <v>1125368</v>
      </c>
      <c r="E15" s="22">
        <v>0</v>
      </c>
      <c r="F15" s="22">
        <f>2419215+1113994</f>
        <v>3533209</v>
      </c>
      <c r="G15" s="22">
        <f>120276+11374</f>
        <v>131650</v>
      </c>
      <c r="H15" s="22">
        <v>0</v>
      </c>
      <c r="I15" s="22">
        <v>0</v>
      </c>
      <c r="J15" s="22">
        <v>0</v>
      </c>
      <c r="K15" s="22">
        <v>2419215</v>
      </c>
      <c r="L15" s="22">
        <v>120276</v>
      </c>
      <c r="M15" s="22">
        <v>0</v>
      </c>
      <c r="N15" s="22">
        <v>0</v>
      </c>
      <c r="O15" s="22">
        <v>0</v>
      </c>
      <c r="P15" s="22">
        <v>1113994</v>
      </c>
      <c r="Q15" s="22">
        <v>11374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5" t="b">
        <f t="shared" si="0"/>
        <v>1</v>
      </c>
      <c r="AA15" s="6" t="b">
        <f t="shared" si="1"/>
        <v>1</v>
      </c>
      <c r="AB15" s="6" t="b">
        <f t="shared" si="2"/>
        <v>1</v>
      </c>
      <c r="AC15" s="5" t="b">
        <f t="shared" si="3"/>
        <v>1</v>
      </c>
    </row>
    <row r="16" spans="1:38" x14ac:dyDescent="0.25">
      <c r="A16" s="25">
        <v>44354</v>
      </c>
      <c r="B16" s="22">
        <v>4634941</v>
      </c>
      <c r="C16" s="22">
        <v>3243913</v>
      </c>
      <c r="D16" s="22">
        <v>1391028</v>
      </c>
      <c r="E16" s="22">
        <v>0</v>
      </c>
      <c r="F16" s="22">
        <f>2778784+1360697</f>
        <v>4139481</v>
      </c>
      <c r="G16" s="22">
        <f>465129+30331</f>
        <v>495460</v>
      </c>
      <c r="H16" s="22">
        <v>0</v>
      </c>
      <c r="I16" s="22">
        <v>0</v>
      </c>
      <c r="J16" s="22">
        <v>0</v>
      </c>
      <c r="K16" s="22">
        <v>2778784</v>
      </c>
      <c r="L16" s="22">
        <v>465129</v>
      </c>
      <c r="M16" s="22">
        <v>0</v>
      </c>
      <c r="N16" s="22">
        <v>0</v>
      </c>
      <c r="O16" s="22">
        <v>0</v>
      </c>
      <c r="P16" s="22">
        <v>1360697</v>
      </c>
      <c r="Q16" s="22">
        <v>30331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5" t="b">
        <f t="shared" si="0"/>
        <v>1</v>
      </c>
      <c r="AA16" s="6" t="b">
        <f t="shared" si="1"/>
        <v>1</v>
      </c>
      <c r="AB16" s="6" t="b">
        <f t="shared" si="2"/>
        <v>1</v>
      </c>
      <c r="AC16" s="5" t="b">
        <f t="shared" si="3"/>
        <v>1</v>
      </c>
    </row>
    <row r="17" spans="1:37" x14ac:dyDescent="0.25">
      <c r="A17" s="25">
        <v>44361</v>
      </c>
      <c r="B17" s="22">
        <v>6511184</v>
      </c>
      <c r="C17" s="22">
        <v>4762063</v>
      </c>
      <c r="D17" s="22">
        <v>1749121</v>
      </c>
      <c r="E17" s="22">
        <v>0</v>
      </c>
      <c r="F17" s="22">
        <v>4801490</v>
      </c>
      <c r="G17" s="22">
        <v>1709694</v>
      </c>
      <c r="H17" s="22">
        <v>0</v>
      </c>
      <c r="I17" s="22">
        <v>0</v>
      </c>
      <c r="J17" s="22">
        <v>0</v>
      </c>
      <c r="K17" s="22">
        <v>3089813</v>
      </c>
      <c r="L17" s="22">
        <v>1672250</v>
      </c>
      <c r="M17" s="22">
        <v>0</v>
      </c>
      <c r="N17" s="22">
        <v>0</v>
      </c>
      <c r="O17" s="22">
        <v>0</v>
      </c>
      <c r="P17" s="22">
        <v>1711677</v>
      </c>
      <c r="Q17" s="22">
        <v>37444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5" t="b">
        <f t="shared" si="0"/>
        <v>1</v>
      </c>
      <c r="AA17" s="6" t="b">
        <f t="shared" si="1"/>
        <v>1</v>
      </c>
      <c r="AB17" s="6" t="b">
        <f t="shared" si="2"/>
        <v>1</v>
      </c>
      <c r="AC17" s="5" t="b">
        <f t="shared" si="3"/>
        <v>1</v>
      </c>
    </row>
    <row r="18" spans="1:37" x14ac:dyDescent="0.25">
      <c r="A18" s="25">
        <v>44368</v>
      </c>
      <c r="B18" s="22">
        <v>7906696</v>
      </c>
      <c r="C18" s="22">
        <v>5678848</v>
      </c>
      <c r="D18" s="22">
        <v>2227848</v>
      </c>
      <c r="E18" s="22">
        <v>0</v>
      </c>
      <c r="F18" s="22">
        <v>5550891</v>
      </c>
      <c r="G18" s="22">
        <v>2355805</v>
      </c>
      <c r="H18" s="22">
        <v>0</v>
      </c>
      <c r="I18" s="22">
        <v>0</v>
      </c>
      <c r="J18" s="22">
        <v>0</v>
      </c>
      <c r="K18" s="22">
        <v>3373958</v>
      </c>
      <c r="L18" s="22">
        <v>2304890</v>
      </c>
      <c r="M18" s="22">
        <v>0</v>
      </c>
      <c r="N18" s="22">
        <v>0</v>
      </c>
      <c r="O18" s="22">
        <v>0</v>
      </c>
      <c r="P18" s="22">
        <v>2176933</v>
      </c>
      <c r="Q18" s="22">
        <v>50915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5" t="b">
        <f t="shared" si="0"/>
        <v>1</v>
      </c>
      <c r="AA18" s="6" t="b">
        <f t="shared" si="1"/>
        <v>1</v>
      </c>
      <c r="AB18" s="6" t="b">
        <f t="shared" si="2"/>
        <v>1</v>
      </c>
      <c r="AC18" s="5" t="b">
        <f t="shared" si="3"/>
        <v>1</v>
      </c>
    </row>
    <row r="19" spans="1:37" x14ac:dyDescent="0.25">
      <c r="A19" s="24">
        <v>44375</v>
      </c>
      <c r="B19" s="22">
        <v>9416972</v>
      </c>
      <c r="C19" s="22">
        <v>6721038</v>
      </c>
      <c r="D19" s="22">
        <v>2695934</v>
      </c>
      <c r="E19" s="22">
        <v>0</v>
      </c>
      <c r="F19" s="22">
        <v>6162132</v>
      </c>
      <c r="G19" s="22">
        <v>3243387</v>
      </c>
      <c r="H19" s="22">
        <v>11453</v>
      </c>
      <c r="I19" s="22">
        <v>0</v>
      </c>
      <c r="J19" s="22">
        <v>0</v>
      </c>
      <c r="K19" s="22">
        <v>3524749</v>
      </c>
      <c r="L19" s="22">
        <v>3184843</v>
      </c>
      <c r="M19" s="22">
        <v>11446</v>
      </c>
      <c r="N19" s="22">
        <v>0</v>
      </c>
      <c r="O19" s="22">
        <v>0</v>
      </c>
      <c r="P19" s="22">
        <v>2637383</v>
      </c>
      <c r="Q19" s="22">
        <v>58544</v>
      </c>
      <c r="R19" s="22">
        <v>7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5" t="b">
        <f t="shared" si="0"/>
        <v>1</v>
      </c>
      <c r="AA19" s="6" t="b">
        <f t="shared" si="1"/>
        <v>1</v>
      </c>
      <c r="AB19" s="6" t="b">
        <f t="shared" si="2"/>
        <v>1</v>
      </c>
      <c r="AC19" s="5" t="b">
        <f t="shared" si="3"/>
        <v>1</v>
      </c>
    </row>
    <row r="20" spans="1:37" x14ac:dyDescent="0.25">
      <c r="A20" s="25">
        <v>44382</v>
      </c>
      <c r="B20" s="22">
        <v>11058390</v>
      </c>
      <c r="C20" s="22">
        <v>8022029</v>
      </c>
      <c r="D20" s="22">
        <v>3036361</v>
      </c>
      <c r="E20" s="22">
        <v>0</v>
      </c>
      <c r="F20" s="22">
        <v>6619009</v>
      </c>
      <c r="G20" s="22">
        <v>4306880</v>
      </c>
      <c r="H20" s="22">
        <v>132501</v>
      </c>
      <c r="I20" s="22">
        <v>0</v>
      </c>
      <c r="J20" s="22">
        <v>0</v>
      </c>
      <c r="K20" s="22">
        <v>3645186</v>
      </c>
      <c r="L20" s="22">
        <v>4244759</v>
      </c>
      <c r="M20" s="22">
        <v>132084</v>
      </c>
      <c r="N20" s="22">
        <v>0</v>
      </c>
      <c r="O20" s="22">
        <v>0</v>
      </c>
      <c r="P20" s="22">
        <v>2973823</v>
      </c>
      <c r="Q20" s="22">
        <v>62121</v>
      </c>
      <c r="R20" s="22">
        <v>417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5" t="b">
        <f t="shared" si="0"/>
        <v>1</v>
      </c>
      <c r="AA20" s="6" t="b">
        <f t="shared" si="1"/>
        <v>1</v>
      </c>
      <c r="AB20" s="6" t="b">
        <f t="shared" si="2"/>
        <v>1</v>
      </c>
      <c r="AC20" s="5" t="b">
        <f t="shared" si="3"/>
        <v>1</v>
      </c>
      <c r="AG20" s="7">
        <f>(765906+665129+319009+806588+3907074)/C20</f>
        <v>0.8057445317138594</v>
      </c>
      <c r="AH20" s="7">
        <f>(681274+429170+173981+182108+1468945)/D20</f>
        <v>0.96677503103221252</v>
      </c>
      <c r="AI20" s="7"/>
      <c r="AJ20" s="7">
        <f>1558323/C20</f>
        <v>0.19425546828614057</v>
      </c>
      <c r="AK20" s="7">
        <f>100883/D20</f>
        <v>3.3224968967787427E-2</v>
      </c>
    </row>
    <row r="21" spans="1:37" x14ac:dyDescent="0.25">
      <c r="A21" s="25">
        <v>44389</v>
      </c>
      <c r="B21" s="22">
        <v>12908193</v>
      </c>
      <c r="C21" s="22">
        <v>9598949</v>
      </c>
      <c r="D21" s="22">
        <v>3309244</v>
      </c>
      <c r="E21" s="22">
        <v>0</v>
      </c>
      <c r="F21" s="22">
        <v>7084913</v>
      </c>
      <c r="G21" s="22">
        <v>5562669</v>
      </c>
      <c r="H21" s="22">
        <v>260611</v>
      </c>
      <c r="I21" s="22">
        <v>0</v>
      </c>
      <c r="J21" s="22">
        <v>0</v>
      </c>
      <c r="K21" s="22">
        <v>3841209</v>
      </c>
      <c r="L21" s="22">
        <v>5497723</v>
      </c>
      <c r="M21" s="22">
        <v>260017</v>
      </c>
      <c r="N21" s="22">
        <v>0</v>
      </c>
      <c r="O21" s="22">
        <v>0</v>
      </c>
      <c r="P21" s="22">
        <v>3243704</v>
      </c>
      <c r="Q21" s="22">
        <v>64946</v>
      </c>
      <c r="R21" s="22">
        <v>594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5" t="b">
        <f t="shared" si="0"/>
        <v>1</v>
      </c>
      <c r="AA21" s="6" t="b">
        <f t="shared" si="1"/>
        <v>1</v>
      </c>
      <c r="AB21" s="6" t="b">
        <f t="shared" si="2"/>
        <v>1</v>
      </c>
      <c r="AC21" s="5" t="b">
        <f t="shared" si="3"/>
        <v>1</v>
      </c>
    </row>
    <row r="22" spans="1:37" x14ac:dyDescent="0.25">
      <c r="A22" s="25">
        <v>44396</v>
      </c>
      <c r="B22" s="22">
        <v>14547244</v>
      </c>
      <c r="C22" s="22">
        <v>11067518</v>
      </c>
      <c r="D22" s="22">
        <v>3479726</v>
      </c>
      <c r="E22" s="22">
        <v>0</v>
      </c>
      <c r="F22" s="22">
        <v>7608312</v>
      </c>
      <c r="G22" s="22">
        <v>6463740</v>
      </c>
      <c r="H22" s="22">
        <v>475192</v>
      </c>
      <c r="I22" s="22">
        <v>0</v>
      </c>
      <c r="J22" s="22">
        <v>0</v>
      </c>
      <c r="K22" s="22">
        <v>4264394</v>
      </c>
      <c r="L22" s="22">
        <v>6332899</v>
      </c>
      <c r="M22" s="22">
        <v>470225</v>
      </c>
      <c r="N22" s="22">
        <v>0</v>
      </c>
      <c r="O22" s="22">
        <v>0</v>
      </c>
      <c r="P22" s="22">
        <v>3343918</v>
      </c>
      <c r="Q22" s="22">
        <v>130841</v>
      </c>
      <c r="R22" s="22">
        <v>4967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5" t="b">
        <f t="shared" si="0"/>
        <v>1</v>
      </c>
      <c r="AA22" s="6" t="b">
        <f t="shared" si="1"/>
        <v>1</v>
      </c>
      <c r="AB22" s="6" t="b">
        <f t="shared" si="2"/>
        <v>1</v>
      </c>
      <c r="AC22" s="5" t="b">
        <f t="shared" si="3"/>
        <v>1</v>
      </c>
    </row>
    <row r="23" spans="1:37" x14ac:dyDescent="0.25">
      <c r="A23" s="24">
        <v>44402</v>
      </c>
      <c r="B23" s="22">
        <v>15960778</v>
      </c>
      <c r="C23" s="22">
        <v>12307788</v>
      </c>
      <c r="D23" s="22">
        <v>3652990</v>
      </c>
      <c r="E23" s="22">
        <v>0</v>
      </c>
      <c r="F23" s="22">
        <v>8116637</v>
      </c>
      <c r="G23" s="22">
        <v>7139026</v>
      </c>
      <c r="H23" s="22">
        <v>705115</v>
      </c>
      <c r="I23" s="22">
        <v>0</v>
      </c>
      <c r="J23" s="22">
        <v>0</v>
      </c>
      <c r="K23" s="22">
        <v>4730460</v>
      </c>
      <c r="L23" s="22">
        <v>6913815</v>
      </c>
      <c r="M23" s="22">
        <v>663513</v>
      </c>
      <c r="N23" s="22">
        <v>0</v>
      </c>
      <c r="O23" s="22">
        <v>0</v>
      </c>
      <c r="P23" s="22">
        <v>3386177</v>
      </c>
      <c r="Q23" s="22">
        <v>225211</v>
      </c>
      <c r="R23" s="22">
        <v>41602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5" t="b">
        <f t="shared" si="0"/>
        <v>1</v>
      </c>
      <c r="AA23" s="6" t="b">
        <f t="shared" si="1"/>
        <v>1</v>
      </c>
      <c r="AB23" s="6" t="b">
        <f t="shared" si="2"/>
        <v>1</v>
      </c>
      <c r="AC23" s="5" t="b">
        <f t="shared" si="3"/>
        <v>1</v>
      </c>
    </row>
    <row r="24" spans="1:37" x14ac:dyDescent="0.25">
      <c r="A24" s="25">
        <v>44410</v>
      </c>
      <c r="B24" s="22">
        <v>18198825</v>
      </c>
      <c r="C24" s="22">
        <v>14207477</v>
      </c>
      <c r="D24" s="22">
        <v>3991348</v>
      </c>
      <c r="E24" s="22">
        <v>0</v>
      </c>
      <c r="F24" s="22">
        <v>8861828</v>
      </c>
      <c r="G24" s="22">
        <v>8228121</v>
      </c>
      <c r="H24" s="22">
        <v>1108876</v>
      </c>
      <c r="I24" s="22">
        <v>0</v>
      </c>
      <c r="J24" s="22">
        <v>0</v>
      </c>
      <c r="K24" s="22">
        <v>5446888</v>
      </c>
      <c r="L24" s="22">
        <v>7857639</v>
      </c>
      <c r="M24" s="22">
        <v>902950</v>
      </c>
      <c r="N24" s="22">
        <v>0</v>
      </c>
      <c r="O24" s="22">
        <v>0</v>
      </c>
      <c r="P24" s="22">
        <v>3414940</v>
      </c>
      <c r="Q24" s="22">
        <v>370482</v>
      </c>
      <c r="R24" s="22">
        <v>205926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5" t="b">
        <f t="shared" si="0"/>
        <v>1</v>
      </c>
      <c r="AA24" s="6" t="b">
        <f t="shared" si="1"/>
        <v>1</v>
      </c>
      <c r="AB24" s="6" t="b">
        <f t="shared" si="2"/>
        <v>1</v>
      </c>
      <c r="AC24" s="5" t="b">
        <f t="shared" si="3"/>
        <v>1</v>
      </c>
    </row>
    <row r="25" spans="1:37" x14ac:dyDescent="0.25">
      <c r="A25" s="25">
        <v>44417</v>
      </c>
      <c r="B25" s="22">
        <v>21171110</v>
      </c>
      <c r="C25" s="22">
        <v>16336743</v>
      </c>
      <c r="D25" s="22">
        <v>4566345</v>
      </c>
      <c r="E25" s="22">
        <v>268022</v>
      </c>
      <c r="F25" s="22">
        <v>10269135</v>
      </c>
      <c r="G25" s="22">
        <v>9230417</v>
      </c>
      <c r="H25" s="22">
        <v>1541724</v>
      </c>
      <c r="I25" s="22">
        <v>129834</v>
      </c>
      <c r="J25" s="22">
        <v>0</v>
      </c>
      <c r="K25" s="22">
        <v>6830715</v>
      </c>
      <c r="L25" s="22">
        <v>8331186</v>
      </c>
      <c r="M25" s="22">
        <v>1141623</v>
      </c>
      <c r="N25" s="22">
        <v>33219</v>
      </c>
      <c r="O25" s="22">
        <v>0</v>
      </c>
      <c r="P25" s="22">
        <v>3438420</v>
      </c>
      <c r="Q25" s="22">
        <v>714202</v>
      </c>
      <c r="R25" s="22">
        <v>400101</v>
      </c>
      <c r="S25" s="22">
        <v>13622</v>
      </c>
      <c r="T25" s="22">
        <v>0</v>
      </c>
      <c r="U25" s="22">
        <v>0</v>
      </c>
      <c r="V25" s="22">
        <v>185029</v>
      </c>
      <c r="W25" s="22">
        <v>0</v>
      </c>
      <c r="X25" s="22">
        <v>82993</v>
      </c>
      <c r="Y25" s="22">
        <v>0</v>
      </c>
      <c r="Z25" s="5" t="b">
        <f t="shared" si="0"/>
        <v>1</v>
      </c>
      <c r="AA25" s="6" t="b">
        <f t="shared" si="1"/>
        <v>1</v>
      </c>
      <c r="AB25" s="6" t="b">
        <f t="shared" si="2"/>
        <v>1</v>
      </c>
      <c r="AC25" s="5" t="b">
        <f t="shared" si="3"/>
        <v>1</v>
      </c>
      <c r="AD25" s="5" t="b">
        <f t="shared" ref="AD25:AD56" si="4">SUM(U25:Y25)=E25</f>
        <v>1</v>
      </c>
    </row>
    <row r="26" spans="1:37" x14ac:dyDescent="0.25">
      <c r="A26" s="25">
        <v>44424</v>
      </c>
      <c r="B26" s="22">
        <v>24100631</v>
      </c>
      <c r="C26" s="22">
        <v>18370997</v>
      </c>
      <c r="D26" s="22">
        <v>5228157</v>
      </c>
      <c r="E26" s="22">
        <v>501477</v>
      </c>
      <c r="F26" s="22">
        <v>11399453</v>
      </c>
      <c r="G26" s="22">
        <v>10255294</v>
      </c>
      <c r="H26" s="22">
        <v>2036818</v>
      </c>
      <c r="I26" s="22">
        <v>409066</v>
      </c>
      <c r="J26" s="22">
        <v>0</v>
      </c>
      <c r="K26" s="22">
        <v>7949935</v>
      </c>
      <c r="L26" s="22">
        <v>8911490</v>
      </c>
      <c r="M26" s="22">
        <v>1429136</v>
      </c>
      <c r="N26" s="22">
        <v>80436</v>
      </c>
      <c r="O26" s="22">
        <v>0</v>
      </c>
      <c r="P26" s="22">
        <v>3449518</v>
      </c>
      <c r="Q26" s="22">
        <v>1146293</v>
      </c>
      <c r="R26" s="22">
        <v>607682</v>
      </c>
      <c r="S26" s="22">
        <v>24664</v>
      </c>
      <c r="T26" s="22">
        <v>0</v>
      </c>
      <c r="U26" s="22">
        <v>0</v>
      </c>
      <c r="V26" s="22">
        <v>197511</v>
      </c>
      <c r="W26" s="22">
        <v>0</v>
      </c>
      <c r="X26" s="22">
        <v>303966</v>
      </c>
      <c r="Y26" s="22">
        <v>0</v>
      </c>
      <c r="Z26" s="5" t="b">
        <f t="shared" si="0"/>
        <v>1</v>
      </c>
      <c r="AA26" s="6" t="b">
        <f t="shared" si="1"/>
        <v>1</v>
      </c>
      <c r="AB26" s="6" t="b">
        <f t="shared" si="2"/>
        <v>1</v>
      </c>
      <c r="AC26" s="5" t="b">
        <f t="shared" si="3"/>
        <v>1</v>
      </c>
      <c r="AD26" s="5" t="b">
        <f t="shared" si="4"/>
        <v>1</v>
      </c>
    </row>
    <row r="27" spans="1:37" x14ac:dyDescent="0.25">
      <c r="A27" s="25">
        <v>44431</v>
      </c>
      <c r="B27" s="22">
        <v>27612445</v>
      </c>
      <c r="C27" s="22">
        <v>20830673</v>
      </c>
      <c r="D27" s="22">
        <v>6230511</v>
      </c>
      <c r="E27" s="22">
        <v>551261</v>
      </c>
      <c r="F27" s="22">
        <v>12774822</v>
      </c>
      <c r="G27" s="22">
        <v>11552009</v>
      </c>
      <c r="H27" s="22">
        <v>2723850</v>
      </c>
      <c r="I27" s="22">
        <v>561764</v>
      </c>
      <c r="J27" s="22">
        <v>0</v>
      </c>
      <c r="K27" s="22">
        <v>9315125</v>
      </c>
      <c r="L27" s="22">
        <v>9442786</v>
      </c>
      <c r="M27" s="22">
        <v>1888983</v>
      </c>
      <c r="N27" s="22">
        <v>183779</v>
      </c>
      <c r="O27" s="22">
        <v>0</v>
      </c>
      <c r="P27" s="22">
        <v>3459697</v>
      </c>
      <c r="Q27" s="22">
        <v>1905095</v>
      </c>
      <c r="R27" s="22">
        <v>834867</v>
      </c>
      <c r="S27" s="22">
        <v>30852</v>
      </c>
      <c r="T27" s="22">
        <v>0</v>
      </c>
      <c r="U27" s="22">
        <v>0</v>
      </c>
      <c r="V27" s="22">
        <v>204128</v>
      </c>
      <c r="W27" s="22">
        <v>0</v>
      </c>
      <c r="X27" s="22">
        <v>347133</v>
      </c>
      <c r="Y27" s="22">
        <v>0</v>
      </c>
      <c r="Z27" s="5" t="b">
        <f t="shared" si="0"/>
        <v>1</v>
      </c>
      <c r="AA27" s="6" t="b">
        <f t="shared" si="1"/>
        <v>1</v>
      </c>
      <c r="AB27" s="6" t="b">
        <f t="shared" si="2"/>
        <v>1</v>
      </c>
      <c r="AC27" s="5" t="b">
        <f t="shared" si="3"/>
        <v>1</v>
      </c>
      <c r="AD27" s="5" t="b">
        <f t="shared" si="4"/>
        <v>1</v>
      </c>
    </row>
    <row r="28" spans="1:37" x14ac:dyDescent="0.25">
      <c r="A28" s="25">
        <v>44438</v>
      </c>
      <c r="B28" s="22">
        <v>31771819</v>
      </c>
      <c r="C28" s="22">
        <v>23401465</v>
      </c>
      <c r="D28" s="22">
        <v>7780973</v>
      </c>
      <c r="E28" s="22">
        <v>589381</v>
      </c>
      <c r="F28" s="22">
        <v>14228309</v>
      </c>
      <c r="G28" s="22">
        <v>13234754</v>
      </c>
      <c r="H28" s="22">
        <v>3551453</v>
      </c>
      <c r="I28" s="22">
        <v>757303</v>
      </c>
      <c r="J28" s="22">
        <v>0</v>
      </c>
      <c r="K28" s="22">
        <v>10758603</v>
      </c>
      <c r="L28" s="22">
        <v>9778844</v>
      </c>
      <c r="M28" s="22">
        <v>2538731</v>
      </c>
      <c r="N28" s="22">
        <v>325287</v>
      </c>
      <c r="O28" s="22">
        <v>0</v>
      </c>
      <c r="P28" s="22">
        <v>3469706</v>
      </c>
      <c r="Q28" s="22">
        <v>3246755</v>
      </c>
      <c r="R28" s="22">
        <v>1012722</v>
      </c>
      <c r="S28" s="22">
        <v>51790</v>
      </c>
      <c r="T28" s="22">
        <v>0</v>
      </c>
      <c r="U28" s="22">
        <v>0</v>
      </c>
      <c r="V28" s="22">
        <v>209155</v>
      </c>
      <c r="W28" s="22">
        <v>0</v>
      </c>
      <c r="X28" s="22">
        <v>380226</v>
      </c>
      <c r="Y28" s="22">
        <v>0</v>
      </c>
      <c r="Z28" s="5" t="b">
        <f t="shared" si="0"/>
        <v>1</v>
      </c>
      <c r="AA28" s="6" t="b">
        <f t="shared" si="1"/>
        <v>1</v>
      </c>
      <c r="AB28" s="6" t="b">
        <f t="shared" si="2"/>
        <v>1</v>
      </c>
      <c r="AC28" s="5" t="b">
        <f t="shared" si="3"/>
        <v>1</v>
      </c>
      <c r="AD28" s="5" t="b">
        <f t="shared" si="4"/>
        <v>1</v>
      </c>
    </row>
    <row r="29" spans="1:37" x14ac:dyDescent="0.25">
      <c r="A29" s="25">
        <v>44445</v>
      </c>
      <c r="B29" s="22">
        <v>36635271</v>
      </c>
      <c r="C29" s="22">
        <v>25554456</v>
      </c>
      <c r="D29" s="22">
        <v>10475325</v>
      </c>
      <c r="E29" s="22">
        <v>605490</v>
      </c>
      <c r="F29" s="22">
        <v>15502824</v>
      </c>
      <c r="G29" s="22">
        <v>15776445</v>
      </c>
      <c r="H29" s="22">
        <v>4462303</v>
      </c>
      <c r="I29" s="22">
        <v>893699</v>
      </c>
      <c r="J29" s="22">
        <v>0</v>
      </c>
      <c r="K29" s="22">
        <v>12017050</v>
      </c>
      <c r="L29" s="22">
        <v>9999855</v>
      </c>
      <c r="M29" s="22">
        <v>3152636</v>
      </c>
      <c r="N29" s="22">
        <v>384915</v>
      </c>
      <c r="O29" s="22">
        <v>0</v>
      </c>
      <c r="P29" s="22">
        <v>3485774</v>
      </c>
      <c r="Q29" s="22">
        <v>5563895</v>
      </c>
      <c r="R29" s="22">
        <v>1309667</v>
      </c>
      <c r="S29" s="22">
        <v>115989</v>
      </c>
      <c r="T29" s="22">
        <v>0</v>
      </c>
      <c r="U29" s="22">
        <v>0</v>
      </c>
      <c r="V29" s="22">
        <v>212695</v>
      </c>
      <c r="W29" s="22">
        <v>0</v>
      </c>
      <c r="X29" s="22">
        <v>392795</v>
      </c>
      <c r="Y29" s="22">
        <v>0</v>
      </c>
      <c r="Z29" s="5" t="b">
        <f t="shared" si="0"/>
        <v>1</v>
      </c>
      <c r="AA29" s="6" t="b">
        <f t="shared" si="1"/>
        <v>1</v>
      </c>
      <c r="AB29" s="6" t="b">
        <f t="shared" si="2"/>
        <v>1</v>
      </c>
      <c r="AC29" s="5" t="b">
        <f t="shared" si="3"/>
        <v>1</v>
      </c>
      <c r="AD29" s="5" t="b">
        <f t="shared" si="4"/>
        <v>1</v>
      </c>
    </row>
    <row r="30" spans="1:37" x14ac:dyDescent="0.25">
      <c r="A30" s="25">
        <v>44452</v>
      </c>
      <c r="B30" s="22">
        <v>40953025</v>
      </c>
      <c r="C30" s="22">
        <v>27540743</v>
      </c>
      <c r="D30" s="22">
        <v>12795707</v>
      </c>
      <c r="E30" s="22">
        <v>616575</v>
      </c>
      <c r="F30" s="22">
        <v>16803776</v>
      </c>
      <c r="G30" s="22">
        <v>17693716</v>
      </c>
      <c r="H30" s="22">
        <v>5395541</v>
      </c>
      <c r="I30" s="22">
        <v>1059992</v>
      </c>
      <c r="J30" s="22">
        <v>0</v>
      </c>
      <c r="K30" s="22">
        <v>13307382</v>
      </c>
      <c r="L30" s="22">
        <v>10133924</v>
      </c>
      <c r="M30" s="22">
        <v>3697794</v>
      </c>
      <c r="N30" s="22">
        <v>401643</v>
      </c>
      <c r="O30" s="22">
        <v>0</v>
      </c>
      <c r="P30" s="22">
        <v>3496394</v>
      </c>
      <c r="Q30" s="22">
        <v>7342539</v>
      </c>
      <c r="R30" s="22">
        <v>1697747</v>
      </c>
      <c r="S30" s="22">
        <v>259027</v>
      </c>
      <c r="T30" s="22">
        <v>0</v>
      </c>
      <c r="U30" s="22">
        <v>0</v>
      </c>
      <c r="V30" s="22">
        <v>217253</v>
      </c>
      <c r="W30" s="22">
        <v>0</v>
      </c>
      <c r="X30" s="22">
        <v>399322</v>
      </c>
      <c r="Y30" s="22">
        <v>0</v>
      </c>
      <c r="Z30" s="5" t="b">
        <f t="shared" si="0"/>
        <v>1</v>
      </c>
      <c r="AA30" s="6" t="b">
        <f t="shared" si="1"/>
        <v>1</v>
      </c>
      <c r="AB30" s="6" t="b">
        <f t="shared" si="2"/>
        <v>1</v>
      </c>
      <c r="AC30" s="5" t="b">
        <f t="shared" si="3"/>
        <v>1</v>
      </c>
      <c r="AD30" s="5" t="b">
        <f t="shared" si="4"/>
        <v>1</v>
      </c>
    </row>
    <row r="31" spans="1:37" x14ac:dyDescent="0.25">
      <c r="A31" s="25">
        <v>44459</v>
      </c>
      <c r="B31" s="22">
        <v>45211101</v>
      </c>
      <c r="C31" s="22">
        <v>29201077</v>
      </c>
      <c r="D31" s="22">
        <v>15388071</v>
      </c>
      <c r="E31" s="22">
        <v>621953</v>
      </c>
      <c r="F31" s="22">
        <v>17819695</v>
      </c>
      <c r="G31" s="22">
        <v>19664100</v>
      </c>
      <c r="H31" s="22">
        <v>6490255</v>
      </c>
      <c r="I31" s="22">
        <v>1237051</v>
      </c>
      <c r="J31" s="22">
        <v>0</v>
      </c>
      <c r="K31" s="22">
        <v>14319104</v>
      </c>
      <c r="L31" s="22">
        <v>10213299</v>
      </c>
      <c r="M31" s="22">
        <v>4251459</v>
      </c>
      <c r="N31" s="22">
        <v>417215</v>
      </c>
      <c r="O31" s="22"/>
      <c r="P31" s="22">
        <v>3500591</v>
      </c>
      <c r="Q31" s="22">
        <v>9231590</v>
      </c>
      <c r="R31" s="22">
        <v>2238796</v>
      </c>
      <c r="S31" s="22">
        <v>417094</v>
      </c>
      <c r="T31" s="22">
        <v>0</v>
      </c>
      <c r="U31" s="22"/>
      <c r="V31" s="22">
        <v>219211</v>
      </c>
      <c r="W31" s="22"/>
      <c r="X31" s="22">
        <v>402742</v>
      </c>
      <c r="Y31" s="22"/>
      <c r="Z31" s="5" t="b">
        <f t="shared" si="0"/>
        <v>1</v>
      </c>
      <c r="AA31" s="6" t="b">
        <f t="shared" si="1"/>
        <v>1</v>
      </c>
      <c r="AB31" s="6" t="b">
        <f t="shared" si="2"/>
        <v>1</v>
      </c>
      <c r="AC31" s="5" t="b">
        <f t="shared" si="3"/>
        <v>1</v>
      </c>
      <c r="AD31" s="5" t="b">
        <f t="shared" si="4"/>
        <v>1</v>
      </c>
    </row>
    <row r="32" spans="1:37" x14ac:dyDescent="0.25">
      <c r="A32" s="25">
        <v>44473</v>
      </c>
      <c r="B32" s="22">
        <v>55921443</v>
      </c>
      <c r="C32" s="22">
        <v>33243525</v>
      </c>
      <c r="D32" s="22">
        <v>21162251</v>
      </c>
      <c r="E32" s="22">
        <v>1515667</v>
      </c>
      <c r="F32" s="22">
        <v>20275031</v>
      </c>
      <c r="G32" s="22">
        <v>25189881</v>
      </c>
      <c r="H32" s="22">
        <v>8993912</v>
      </c>
      <c r="I32" s="22">
        <v>1462619</v>
      </c>
      <c r="J32" s="22">
        <v>0</v>
      </c>
      <c r="K32" s="22">
        <v>16763410</v>
      </c>
      <c r="L32" s="22">
        <v>10414975</v>
      </c>
      <c r="M32" s="22">
        <v>5610652</v>
      </c>
      <c r="N32" s="22">
        <v>454488</v>
      </c>
      <c r="O32" s="22">
        <v>0</v>
      </c>
      <c r="P32" s="22">
        <v>3511621</v>
      </c>
      <c r="Q32" s="22">
        <v>13745520</v>
      </c>
      <c r="R32" s="22">
        <v>3383260</v>
      </c>
      <c r="S32" s="22">
        <v>521850</v>
      </c>
      <c r="T32" s="22">
        <v>0</v>
      </c>
      <c r="U32" s="22">
        <v>0</v>
      </c>
      <c r="V32" s="22">
        <v>1029386</v>
      </c>
      <c r="W32" s="22">
        <v>0</v>
      </c>
      <c r="X32" s="22">
        <v>486281</v>
      </c>
      <c r="Y32" s="22">
        <v>0</v>
      </c>
      <c r="Z32" s="5" t="b">
        <f t="shared" si="0"/>
        <v>1</v>
      </c>
      <c r="AA32" s="6" t="b">
        <f t="shared" si="1"/>
        <v>1</v>
      </c>
      <c r="AB32" s="6" t="b">
        <f t="shared" si="2"/>
        <v>1</v>
      </c>
      <c r="AC32" s="5" t="b">
        <f t="shared" si="3"/>
        <v>1</v>
      </c>
      <c r="AD32" s="5" t="b">
        <f t="shared" si="4"/>
        <v>1</v>
      </c>
    </row>
    <row r="33" spans="1:43" x14ac:dyDescent="0.25">
      <c r="A33" s="25">
        <v>44480</v>
      </c>
      <c r="B33" s="22">
        <v>61033251</v>
      </c>
      <c r="C33" s="22">
        <v>35462170</v>
      </c>
      <c r="D33" s="22">
        <v>23796497</v>
      </c>
      <c r="E33" s="22">
        <v>1774584</v>
      </c>
      <c r="F33" s="22">
        <v>21177859</v>
      </c>
      <c r="G33" s="22">
        <v>27492935</v>
      </c>
      <c r="H33" s="22">
        <v>10023635</v>
      </c>
      <c r="I33" s="22">
        <v>2338822</v>
      </c>
      <c r="J33" s="22">
        <v>0</v>
      </c>
      <c r="K33" s="22">
        <v>17663254</v>
      </c>
      <c r="L33" s="22">
        <v>10471685</v>
      </c>
      <c r="M33" s="22">
        <v>6019401</v>
      </c>
      <c r="N33" s="22">
        <v>1307830</v>
      </c>
      <c r="O33" s="22">
        <v>0</v>
      </c>
      <c r="P33" s="22">
        <v>3514605</v>
      </c>
      <c r="Q33" s="22">
        <v>15738545</v>
      </c>
      <c r="R33" s="22">
        <v>4004234</v>
      </c>
      <c r="S33" s="22">
        <v>539113</v>
      </c>
      <c r="T33" s="22">
        <v>0</v>
      </c>
      <c r="U33" s="22">
        <v>0</v>
      </c>
      <c r="V33" s="22">
        <v>1282705</v>
      </c>
      <c r="W33" s="22">
        <v>0</v>
      </c>
      <c r="X33" s="22">
        <v>491879</v>
      </c>
      <c r="Y33" s="22">
        <v>0</v>
      </c>
      <c r="Z33" s="5" t="b">
        <f t="shared" si="0"/>
        <v>1</v>
      </c>
      <c r="AA33" s="6" t="b">
        <f t="shared" si="1"/>
        <v>1</v>
      </c>
      <c r="AB33" s="6" t="b">
        <f t="shared" si="2"/>
        <v>1</v>
      </c>
      <c r="AC33" s="5" t="b">
        <f t="shared" si="3"/>
        <v>1</v>
      </c>
      <c r="AD33" s="5" t="b">
        <f t="shared" si="4"/>
        <v>1</v>
      </c>
      <c r="AE33" s="8">
        <f>499046/C33</f>
        <v>1.4072630073117353E-2</v>
      </c>
      <c r="AF33" s="9">
        <f>4161/D33</f>
        <v>1.7485766917710619E-4</v>
      </c>
      <c r="AG33" s="8">
        <f>(878685+1191746+731244+3997965+21537148+71332)/C33</f>
        <v>0.80108239287105099</v>
      </c>
      <c r="AH33" s="9">
        <f>(850685+1057265+640599+2808555+13483779+48076)/D33</f>
        <v>0.79377057051716482</v>
      </c>
      <c r="AI33" s="7">
        <f>(647637+173380+74595+104733+734924+454)/E33</f>
        <v>0.97810134656911141</v>
      </c>
      <c r="AJ33" s="10">
        <f>6555004/C33</f>
        <v>0.18484497705583161</v>
      </c>
      <c r="AK33" s="11">
        <f>4903377/D33</f>
        <v>0.20605457181365813</v>
      </c>
      <c r="AL33" s="12">
        <f>38861/E33</f>
        <v>2.1898653430888593E-2</v>
      </c>
    </row>
    <row r="34" spans="1:43" x14ac:dyDescent="0.25">
      <c r="A34" s="25">
        <v>44487</v>
      </c>
      <c r="B34" s="22">
        <v>66592321</v>
      </c>
      <c r="C34" s="22">
        <v>38137096</v>
      </c>
      <c r="D34" s="22">
        <v>26474522</v>
      </c>
      <c r="E34" s="22">
        <v>1980703</v>
      </c>
      <c r="F34" s="22">
        <v>22267275</v>
      </c>
      <c r="G34" s="22">
        <v>29747511</v>
      </c>
      <c r="H34" s="22">
        <v>11031696</v>
      </c>
      <c r="I34" s="22">
        <v>3545839</v>
      </c>
      <c r="J34" s="22">
        <v>0</v>
      </c>
      <c r="K34" s="22">
        <v>18747124</v>
      </c>
      <c r="L34" s="22">
        <v>10557501</v>
      </c>
      <c r="M34" s="22">
        <v>6331486</v>
      </c>
      <c r="N34" s="22">
        <v>2500985</v>
      </c>
      <c r="O34" s="22">
        <v>0</v>
      </c>
      <c r="P34" s="22">
        <v>3520151</v>
      </c>
      <c r="Q34" s="22">
        <v>17705332</v>
      </c>
      <c r="R34" s="22">
        <v>4700210</v>
      </c>
      <c r="S34" s="22">
        <v>548829</v>
      </c>
      <c r="T34" s="22">
        <v>0</v>
      </c>
      <c r="U34" s="22">
        <v>0</v>
      </c>
      <c r="V34" s="22">
        <v>1484678</v>
      </c>
      <c r="W34" s="22">
        <v>0</v>
      </c>
      <c r="X34" s="22">
        <v>496025</v>
      </c>
      <c r="Y34" s="22">
        <v>0</v>
      </c>
      <c r="Z34" s="5" t="b">
        <f t="shared" ref="Z34:Z65" si="5">SUM(C34:E34)=B34</f>
        <v>1</v>
      </c>
      <c r="AA34" s="6" t="b">
        <f t="shared" si="1"/>
        <v>1</v>
      </c>
      <c r="AB34" s="6" t="b">
        <f t="shared" si="2"/>
        <v>1</v>
      </c>
      <c r="AC34" s="5" t="b">
        <f t="shared" si="3"/>
        <v>1</v>
      </c>
      <c r="AD34" s="5" t="b">
        <f t="shared" si="4"/>
        <v>1</v>
      </c>
    </row>
    <row r="35" spans="1:43" x14ac:dyDescent="0.25">
      <c r="A35" s="25">
        <v>44494</v>
      </c>
      <c r="B35" s="22">
        <v>71237520</v>
      </c>
      <c r="C35" s="22">
        <v>40346281</v>
      </c>
      <c r="D35" s="22">
        <v>28713904</v>
      </c>
      <c r="E35" s="22">
        <v>2177335</v>
      </c>
      <c r="F35" s="22">
        <v>23247281</v>
      </c>
      <c r="G35" s="22">
        <v>31673297</v>
      </c>
      <c r="H35" s="22">
        <v>11795636</v>
      </c>
      <c r="I35" s="22">
        <v>4521306</v>
      </c>
      <c r="J35" s="22">
        <v>0</v>
      </c>
      <c r="K35" s="22">
        <v>19722907</v>
      </c>
      <c r="L35" s="22">
        <v>10636009</v>
      </c>
      <c r="M35" s="22">
        <v>6551665</v>
      </c>
      <c r="N35" s="22">
        <v>3435700</v>
      </c>
      <c r="O35" s="22">
        <v>0</v>
      </c>
      <c r="P35" s="22">
        <v>3524374</v>
      </c>
      <c r="Q35" s="22">
        <v>19372791</v>
      </c>
      <c r="R35" s="22">
        <v>5243971</v>
      </c>
      <c r="S35" s="22">
        <v>572768</v>
      </c>
      <c r="T35" s="22">
        <v>0</v>
      </c>
      <c r="U35" s="22">
        <v>0</v>
      </c>
      <c r="V35" s="22">
        <v>1664497</v>
      </c>
      <c r="W35" s="22">
        <v>0</v>
      </c>
      <c r="X35" s="22">
        <v>512838</v>
      </c>
      <c r="Y35" s="22">
        <v>0</v>
      </c>
      <c r="Z35" s="5" t="b">
        <f t="shared" si="5"/>
        <v>1</v>
      </c>
      <c r="AA35" s="6" t="b">
        <f t="shared" si="1"/>
        <v>1</v>
      </c>
      <c r="AB35" s="6" t="b">
        <f t="shared" si="2"/>
        <v>1</v>
      </c>
      <c r="AC35" s="5" t="b">
        <f t="shared" si="3"/>
        <v>1</v>
      </c>
      <c r="AD35" s="5" t="b">
        <f t="shared" si="4"/>
        <v>1</v>
      </c>
    </row>
    <row r="36" spans="1:43" x14ac:dyDescent="0.25">
      <c r="A36" s="25">
        <v>44501</v>
      </c>
      <c r="B36" s="22">
        <v>76226116</v>
      </c>
      <c r="C36" s="22">
        <v>42548483</v>
      </c>
      <c r="D36" s="22">
        <v>31244587</v>
      </c>
      <c r="E36" s="22">
        <v>2433046</v>
      </c>
      <c r="F36" s="22">
        <v>24393609</v>
      </c>
      <c r="G36" s="22">
        <v>33531619</v>
      </c>
      <c r="H36" s="22">
        <v>12410500</v>
      </c>
      <c r="I36" s="22">
        <v>5890388</v>
      </c>
      <c r="J36" s="22">
        <v>0</v>
      </c>
      <c r="K36" s="22">
        <v>20862351</v>
      </c>
      <c r="L36" s="22">
        <v>10724547</v>
      </c>
      <c r="M36" s="22">
        <v>6739348</v>
      </c>
      <c r="N36" s="22">
        <v>4222237</v>
      </c>
      <c r="O36" s="22">
        <v>0</v>
      </c>
      <c r="P36" s="22">
        <v>3531258</v>
      </c>
      <c r="Q36" s="22">
        <v>20908521</v>
      </c>
      <c r="R36" s="22">
        <v>5671152</v>
      </c>
      <c r="S36" s="22">
        <v>1133656</v>
      </c>
      <c r="T36" s="22">
        <v>0</v>
      </c>
      <c r="U36" s="22">
        <v>0</v>
      </c>
      <c r="V36" s="22">
        <v>1898551</v>
      </c>
      <c r="W36" s="22">
        <v>0</v>
      </c>
      <c r="X36" s="22">
        <v>534495</v>
      </c>
      <c r="Y36" s="22">
        <v>0</v>
      </c>
      <c r="Z36" s="5" t="b">
        <f t="shared" si="5"/>
        <v>1</v>
      </c>
      <c r="AA36" s="6" t="b">
        <f t="shared" si="1"/>
        <v>1</v>
      </c>
      <c r="AB36" s="6" t="b">
        <f t="shared" si="2"/>
        <v>1</v>
      </c>
      <c r="AC36" s="5" t="b">
        <f t="shared" si="3"/>
        <v>1</v>
      </c>
      <c r="AD36" s="5" t="b">
        <f t="shared" si="4"/>
        <v>1</v>
      </c>
    </row>
    <row r="37" spans="1:43" x14ac:dyDescent="0.25">
      <c r="A37" s="25">
        <v>44508</v>
      </c>
      <c r="B37" s="22">
        <v>80968807</v>
      </c>
      <c r="C37" s="22">
        <v>44116509</v>
      </c>
      <c r="D37" s="22">
        <v>34240355</v>
      </c>
      <c r="E37" s="22">
        <v>2611943</v>
      </c>
      <c r="F37" s="22">
        <v>25167025</v>
      </c>
      <c r="G37" s="22">
        <v>35467294</v>
      </c>
      <c r="H37" s="22">
        <v>12995618</v>
      </c>
      <c r="I37" s="22">
        <v>7338870</v>
      </c>
      <c r="J37" s="22">
        <v>0</v>
      </c>
      <c r="K37" s="22">
        <v>21632113</v>
      </c>
      <c r="L37" s="22">
        <v>10960225</v>
      </c>
      <c r="M37" s="22">
        <v>6938640</v>
      </c>
      <c r="N37" s="22">
        <v>4585531</v>
      </c>
      <c r="O37" s="22">
        <v>0</v>
      </c>
      <c r="P37" s="22">
        <v>3534912</v>
      </c>
      <c r="Q37" s="22">
        <v>22461435</v>
      </c>
      <c r="R37" s="22">
        <v>6056978</v>
      </c>
      <c r="S37" s="22">
        <v>2187030</v>
      </c>
      <c r="T37" s="22">
        <v>0</v>
      </c>
      <c r="U37" s="22">
        <v>0</v>
      </c>
      <c r="V37" s="22">
        <v>2045634</v>
      </c>
      <c r="W37" s="22">
        <v>0</v>
      </c>
      <c r="X37" s="22">
        <v>566309</v>
      </c>
      <c r="Y37" s="22">
        <v>0</v>
      </c>
      <c r="Z37" s="5" t="b">
        <f t="shared" si="5"/>
        <v>1</v>
      </c>
      <c r="AA37" s="6" t="b">
        <f t="shared" si="1"/>
        <v>1</v>
      </c>
      <c r="AB37" s="6" t="b">
        <f t="shared" si="2"/>
        <v>1</v>
      </c>
      <c r="AC37" s="5" t="b">
        <f t="shared" si="3"/>
        <v>1</v>
      </c>
      <c r="AD37" s="5" t="b">
        <f t="shared" si="4"/>
        <v>1</v>
      </c>
    </row>
    <row r="38" spans="1:43" x14ac:dyDescent="0.25">
      <c r="A38" s="25">
        <v>44515</v>
      </c>
      <c r="B38" s="22">
        <v>85412126</v>
      </c>
      <c r="C38" s="22">
        <v>45488767</v>
      </c>
      <c r="D38" s="22">
        <v>37114546</v>
      </c>
      <c r="E38" s="22">
        <v>2808813</v>
      </c>
      <c r="F38" s="22">
        <v>25707526</v>
      </c>
      <c r="G38" s="22">
        <v>37670153</v>
      </c>
      <c r="H38" s="22">
        <v>13407610</v>
      </c>
      <c r="I38" s="22">
        <v>8626837</v>
      </c>
      <c r="J38" s="22">
        <v>0</v>
      </c>
      <c r="K38" s="22">
        <v>22166237</v>
      </c>
      <c r="L38" s="22">
        <v>11409714</v>
      </c>
      <c r="M38" s="22">
        <v>7068775</v>
      </c>
      <c r="N38" s="22">
        <v>4844041</v>
      </c>
      <c r="O38" s="22">
        <v>0</v>
      </c>
      <c r="P38" s="22">
        <v>3541289</v>
      </c>
      <c r="Q38" s="22">
        <v>24070438</v>
      </c>
      <c r="R38" s="22">
        <v>6338835</v>
      </c>
      <c r="S38" s="22">
        <v>3163984</v>
      </c>
      <c r="T38" s="22">
        <v>0</v>
      </c>
      <c r="U38" s="22">
        <v>0</v>
      </c>
      <c r="V38" s="22">
        <v>2190001</v>
      </c>
      <c r="W38" s="22">
        <v>0</v>
      </c>
      <c r="X38" s="22">
        <v>618812</v>
      </c>
      <c r="Y38" s="22">
        <v>0</v>
      </c>
      <c r="Z38" s="5" t="b">
        <f t="shared" si="5"/>
        <v>1</v>
      </c>
      <c r="AA38" s="6" t="b">
        <f t="shared" si="1"/>
        <v>1</v>
      </c>
      <c r="AB38" s="6" t="b">
        <f t="shared" si="2"/>
        <v>1</v>
      </c>
      <c r="AC38" s="5" t="b">
        <f t="shared" si="3"/>
        <v>1</v>
      </c>
      <c r="AD38" s="5" t="b">
        <f t="shared" si="4"/>
        <v>1</v>
      </c>
    </row>
    <row r="39" spans="1:43" x14ac:dyDescent="0.25">
      <c r="A39" s="25">
        <v>44522</v>
      </c>
      <c r="B39" s="22">
        <v>89336791</v>
      </c>
      <c r="C39" s="22">
        <v>46836876</v>
      </c>
      <c r="D39" s="22">
        <v>39403769</v>
      </c>
      <c r="E39" s="22">
        <v>3096146</v>
      </c>
      <c r="F39" s="22">
        <v>25976355</v>
      </c>
      <c r="G39" s="22">
        <v>39739566</v>
      </c>
      <c r="H39" s="22">
        <v>13738840</v>
      </c>
      <c r="I39" s="22">
        <v>9606282</v>
      </c>
      <c r="J39" s="22">
        <v>275748</v>
      </c>
      <c r="K39" s="22">
        <v>22428746</v>
      </c>
      <c r="L39" s="22">
        <v>12057856</v>
      </c>
      <c r="M39" s="22">
        <v>7186742</v>
      </c>
      <c r="N39" s="22">
        <v>5019276</v>
      </c>
      <c r="O39" s="22">
        <v>144256</v>
      </c>
      <c r="P39" s="22">
        <v>3547609</v>
      </c>
      <c r="Q39" s="22">
        <v>25367343</v>
      </c>
      <c r="R39" s="22">
        <v>6552098</v>
      </c>
      <c r="S39" s="22">
        <v>3910689</v>
      </c>
      <c r="T39" s="22">
        <v>26030</v>
      </c>
      <c r="U39" s="22">
        <v>0</v>
      </c>
      <c r="V39" s="22">
        <v>2314367</v>
      </c>
      <c r="W39" s="22">
        <v>0</v>
      </c>
      <c r="X39" s="22">
        <v>676317</v>
      </c>
      <c r="Y39" s="22">
        <v>105462</v>
      </c>
      <c r="Z39" s="5" t="b">
        <f t="shared" si="5"/>
        <v>1</v>
      </c>
      <c r="AA39" s="6" t="b">
        <f t="shared" si="1"/>
        <v>1</v>
      </c>
      <c r="AB39" s="6" t="b">
        <f t="shared" si="2"/>
        <v>1</v>
      </c>
      <c r="AC39" s="5" t="b">
        <f t="shared" si="3"/>
        <v>1</v>
      </c>
      <c r="AD39" s="5" t="b">
        <f t="shared" si="4"/>
        <v>1</v>
      </c>
    </row>
    <row r="40" spans="1:43" x14ac:dyDescent="0.25">
      <c r="A40" s="25">
        <v>44529</v>
      </c>
      <c r="B40" s="22">
        <v>92658390</v>
      </c>
      <c r="C40" s="22">
        <v>48074050</v>
      </c>
      <c r="D40" s="22">
        <v>41210777</v>
      </c>
      <c r="E40" s="22">
        <v>3373563</v>
      </c>
      <c r="F40" s="22">
        <v>26149698</v>
      </c>
      <c r="G40" s="22">
        <v>41599293</v>
      </c>
      <c r="H40" s="22">
        <v>13988065</v>
      </c>
      <c r="I40" s="22">
        <v>10483755</v>
      </c>
      <c r="J40" s="22">
        <v>437579</v>
      </c>
      <c r="K40" s="22">
        <v>22596654</v>
      </c>
      <c r="L40" s="22">
        <v>12702788</v>
      </c>
      <c r="M40" s="22">
        <v>7270185</v>
      </c>
      <c r="N40" s="22">
        <v>5288812</v>
      </c>
      <c r="O40" s="22">
        <v>215611</v>
      </c>
      <c r="P40" s="22">
        <v>3553044</v>
      </c>
      <c r="Q40" s="22">
        <v>26439285</v>
      </c>
      <c r="R40" s="22">
        <v>6717880</v>
      </c>
      <c r="S40" s="22">
        <v>4443951</v>
      </c>
      <c r="T40" s="22">
        <v>56617</v>
      </c>
      <c r="U40" s="22">
        <v>0</v>
      </c>
      <c r="V40" s="22">
        <v>2457220</v>
      </c>
      <c r="W40" s="22">
        <v>0</v>
      </c>
      <c r="X40" s="22">
        <v>750992</v>
      </c>
      <c r="Y40" s="22">
        <v>165351</v>
      </c>
      <c r="Z40" s="5" t="b">
        <f t="shared" si="5"/>
        <v>1</v>
      </c>
      <c r="AA40" s="6" t="b">
        <f t="shared" si="1"/>
        <v>1</v>
      </c>
      <c r="AB40" s="6" t="b">
        <f t="shared" si="2"/>
        <v>1</v>
      </c>
      <c r="AC40" s="5" t="b">
        <f t="shared" si="3"/>
        <v>1</v>
      </c>
      <c r="AD40" s="5" t="b">
        <f t="shared" si="4"/>
        <v>1</v>
      </c>
    </row>
    <row r="41" spans="1:43" x14ac:dyDescent="0.25">
      <c r="A41" s="25">
        <v>44536</v>
      </c>
      <c r="B41" s="22">
        <v>95616058</v>
      </c>
      <c r="C41" s="22">
        <v>49308940</v>
      </c>
      <c r="D41" s="22">
        <v>42527505</v>
      </c>
      <c r="E41" s="22">
        <v>3779613</v>
      </c>
      <c r="F41" s="22">
        <v>26251727</v>
      </c>
      <c r="G41" s="22">
        <v>42697863</v>
      </c>
      <c r="H41" s="22">
        <v>14199756</v>
      </c>
      <c r="I41" s="22">
        <v>11750818</v>
      </c>
      <c r="J41" s="22">
        <v>715894</v>
      </c>
      <c r="K41" s="22">
        <v>22690550</v>
      </c>
      <c r="L41" s="22">
        <v>13071123</v>
      </c>
      <c r="M41" s="22">
        <v>7340661</v>
      </c>
      <c r="N41" s="22">
        <v>5865004</v>
      </c>
      <c r="O41" s="22">
        <v>341602</v>
      </c>
      <c r="P41" s="22">
        <v>3561177</v>
      </c>
      <c r="Q41" s="22">
        <v>27074222</v>
      </c>
      <c r="R41" s="22">
        <v>6859095</v>
      </c>
      <c r="S41" s="22">
        <v>4940619</v>
      </c>
      <c r="T41" s="22">
        <v>92392</v>
      </c>
      <c r="U41" s="22">
        <v>0</v>
      </c>
      <c r="V41" s="22">
        <v>2552518</v>
      </c>
      <c r="W41" s="22">
        <v>0</v>
      </c>
      <c r="X41" s="22">
        <v>945195</v>
      </c>
      <c r="Y41" s="22">
        <v>281900</v>
      </c>
      <c r="Z41" s="5" t="b">
        <f t="shared" si="5"/>
        <v>1</v>
      </c>
      <c r="AA41" s="6" t="b">
        <f t="shared" si="1"/>
        <v>1</v>
      </c>
      <c r="AB41" s="6" t="b">
        <f t="shared" si="2"/>
        <v>1</v>
      </c>
      <c r="AC41" s="5" t="b">
        <f t="shared" si="3"/>
        <v>1</v>
      </c>
      <c r="AD41" s="5" t="b">
        <f t="shared" si="4"/>
        <v>1</v>
      </c>
    </row>
    <row r="42" spans="1:43" x14ac:dyDescent="0.25">
      <c r="A42" s="25">
        <v>44543</v>
      </c>
      <c r="B42" s="22">
        <v>97653854</v>
      </c>
      <c r="C42" s="22">
        <v>49980431</v>
      </c>
      <c r="D42" s="22">
        <v>43461981</v>
      </c>
      <c r="E42" s="22">
        <v>4211442</v>
      </c>
      <c r="F42" s="22">
        <v>26301267</v>
      </c>
      <c r="G42" s="22">
        <v>43195060</v>
      </c>
      <c r="H42" s="22">
        <v>14329210</v>
      </c>
      <c r="I42" s="22">
        <v>12751336</v>
      </c>
      <c r="J42" s="22">
        <v>1076981</v>
      </c>
      <c r="K42" s="22">
        <v>22735054</v>
      </c>
      <c r="L42" s="22">
        <v>13198861</v>
      </c>
      <c r="M42" s="22">
        <v>7380374</v>
      </c>
      <c r="N42" s="22">
        <v>6222049</v>
      </c>
      <c r="O42" s="22">
        <v>444093</v>
      </c>
      <c r="P42" s="22">
        <v>3566213</v>
      </c>
      <c r="Q42" s="22">
        <v>27400495</v>
      </c>
      <c r="R42" s="22">
        <v>6948836</v>
      </c>
      <c r="S42" s="22">
        <v>5359402</v>
      </c>
      <c r="T42" s="22">
        <v>187035</v>
      </c>
      <c r="U42" s="22">
        <v>0</v>
      </c>
      <c r="V42" s="22">
        <v>2595704</v>
      </c>
      <c r="W42" s="22">
        <v>0</v>
      </c>
      <c r="X42" s="22">
        <v>1169885</v>
      </c>
      <c r="Y42" s="22">
        <v>445853</v>
      </c>
      <c r="Z42" s="5" t="b">
        <f t="shared" si="5"/>
        <v>1</v>
      </c>
      <c r="AA42" s="6" t="b">
        <f t="shared" si="1"/>
        <v>1</v>
      </c>
      <c r="AB42" s="6" t="b">
        <f t="shared" si="2"/>
        <v>1</v>
      </c>
      <c r="AC42" s="5" t="b">
        <f t="shared" si="3"/>
        <v>1</v>
      </c>
      <c r="AD42" s="5" t="b">
        <f t="shared" si="4"/>
        <v>1</v>
      </c>
    </row>
    <row r="43" spans="1:43" x14ac:dyDescent="0.25">
      <c r="A43" s="25">
        <v>44550</v>
      </c>
      <c r="B43" s="22">
        <v>100171841</v>
      </c>
      <c r="C43" s="22">
        <v>50604144</v>
      </c>
      <c r="D43" s="22">
        <v>44487133</v>
      </c>
      <c r="E43" s="22">
        <v>5080564</v>
      </c>
      <c r="F43" s="22">
        <v>26348888</v>
      </c>
      <c r="G43" s="22">
        <v>43643174</v>
      </c>
      <c r="H43" s="22">
        <v>14443302</v>
      </c>
      <c r="I43" s="22">
        <v>14147662</v>
      </c>
      <c r="J43" s="22">
        <v>1588815</v>
      </c>
      <c r="K43" s="22">
        <v>22778066</v>
      </c>
      <c r="L43" s="22">
        <v>13314433</v>
      </c>
      <c r="M43" s="22">
        <v>7418248</v>
      </c>
      <c r="N43" s="22">
        <v>6556659</v>
      </c>
      <c r="O43" s="22">
        <v>536738</v>
      </c>
      <c r="P43" s="22">
        <v>3570822</v>
      </c>
      <c r="Q43" s="22">
        <v>27649877</v>
      </c>
      <c r="R43" s="22">
        <v>7025054</v>
      </c>
      <c r="S43" s="22">
        <v>5957404</v>
      </c>
      <c r="T43" s="22">
        <v>283976</v>
      </c>
      <c r="U43" s="22">
        <v>0</v>
      </c>
      <c r="V43" s="22">
        <v>2678864</v>
      </c>
      <c r="W43" s="22">
        <v>0</v>
      </c>
      <c r="X43" s="22">
        <v>1633599</v>
      </c>
      <c r="Y43" s="22">
        <v>768101</v>
      </c>
      <c r="Z43" s="5" t="b">
        <f t="shared" si="5"/>
        <v>1</v>
      </c>
      <c r="AA43" s="6" t="b">
        <f t="shared" si="1"/>
        <v>1</v>
      </c>
      <c r="AB43" s="6" t="b">
        <f t="shared" si="2"/>
        <v>1</v>
      </c>
      <c r="AC43" s="5" t="b">
        <f t="shared" si="3"/>
        <v>1</v>
      </c>
      <c r="AD43" s="5" t="b">
        <f t="shared" si="4"/>
        <v>1</v>
      </c>
    </row>
    <row r="44" spans="1:43" s="15" customFormat="1" x14ac:dyDescent="0.25">
      <c r="A44" s="25">
        <v>44556</v>
      </c>
      <c r="B44" s="22">
        <v>102681943</v>
      </c>
      <c r="C44" s="22">
        <v>51032649</v>
      </c>
      <c r="D44" s="22">
        <v>45423045</v>
      </c>
      <c r="E44" s="22">
        <v>6226249</v>
      </c>
      <c r="F44" s="22">
        <v>26377311</v>
      </c>
      <c r="G44" s="22">
        <v>43998237</v>
      </c>
      <c r="H44" s="22">
        <v>14518780</v>
      </c>
      <c r="I44" s="22">
        <v>15733891</v>
      </c>
      <c r="J44" s="22">
        <v>2053724</v>
      </c>
      <c r="K44" s="22">
        <v>22803477</v>
      </c>
      <c r="L44" s="22">
        <v>13396410</v>
      </c>
      <c r="M44" s="22">
        <v>7444444</v>
      </c>
      <c r="N44" s="22">
        <v>6802573</v>
      </c>
      <c r="O44" s="22">
        <v>585745</v>
      </c>
      <c r="P44" s="22">
        <v>3573834</v>
      </c>
      <c r="Q44" s="22">
        <v>27799001</v>
      </c>
      <c r="R44" s="22">
        <v>7074336</v>
      </c>
      <c r="S44" s="22">
        <v>6593426</v>
      </c>
      <c r="T44" s="22">
        <v>382448</v>
      </c>
      <c r="U44" s="22">
        <v>0</v>
      </c>
      <c r="V44" s="22">
        <v>2802826</v>
      </c>
      <c r="W44" s="22">
        <v>0</v>
      </c>
      <c r="X44" s="22">
        <v>2337892</v>
      </c>
      <c r="Y44" s="22">
        <v>1085531</v>
      </c>
      <c r="Z44" s="5" t="b">
        <f t="shared" si="5"/>
        <v>1</v>
      </c>
      <c r="AA44" s="14" t="b">
        <f t="shared" si="1"/>
        <v>1</v>
      </c>
      <c r="AB44" s="14" t="b">
        <f t="shared" si="2"/>
        <v>1</v>
      </c>
      <c r="AC44" s="16" t="b">
        <f t="shared" si="3"/>
        <v>1</v>
      </c>
      <c r="AD44" s="16" t="b">
        <f t="shared" si="4"/>
        <v>1</v>
      </c>
    </row>
    <row r="45" spans="1:43" x14ac:dyDescent="0.25">
      <c r="A45" s="25">
        <v>44564</v>
      </c>
      <c r="B45" s="22">
        <v>104524571</v>
      </c>
      <c r="C45" s="22">
        <v>51310112</v>
      </c>
      <c r="D45" s="22">
        <v>46172663</v>
      </c>
      <c r="E45" s="22">
        <v>7041796</v>
      </c>
      <c r="F45" s="22">
        <v>26396304</v>
      </c>
      <c r="G45" s="22">
        <v>44235333</v>
      </c>
      <c r="H45" s="22">
        <v>14560992</v>
      </c>
      <c r="I45" s="22">
        <v>17040914</v>
      </c>
      <c r="J45" s="22">
        <v>2291028</v>
      </c>
      <c r="K45" s="22">
        <v>22820714</v>
      </c>
      <c r="L45" s="22">
        <v>13452846</v>
      </c>
      <c r="M45" s="22">
        <v>7456370</v>
      </c>
      <c r="N45" s="22">
        <v>6977340</v>
      </c>
      <c r="O45" s="22">
        <v>602842</v>
      </c>
      <c r="P45" s="22">
        <v>3575590</v>
      </c>
      <c r="Q45" s="22">
        <v>27877179</v>
      </c>
      <c r="R45" s="22">
        <v>7104622</v>
      </c>
      <c r="S45" s="22">
        <v>7135289</v>
      </c>
      <c r="T45" s="22">
        <v>479983</v>
      </c>
      <c r="U45" s="22">
        <v>0</v>
      </c>
      <c r="V45" s="22">
        <v>2905308</v>
      </c>
      <c r="W45" s="22">
        <v>0</v>
      </c>
      <c r="X45" s="22">
        <v>2928285</v>
      </c>
      <c r="Y45" s="22">
        <v>1208203</v>
      </c>
      <c r="Z45" s="5" t="b">
        <f t="shared" si="5"/>
        <v>1</v>
      </c>
      <c r="AA45" s="6" t="b">
        <f t="shared" ref="AA45:AA76" si="6">SUM(F45:J45)=B45</f>
        <v>1</v>
      </c>
      <c r="AB45" s="6" t="b">
        <f t="shared" ref="AB45:AB76" si="7">SUM(K45:O45)=C45</f>
        <v>1</v>
      </c>
      <c r="AC45" s="4" t="b">
        <f t="shared" ref="AC45:AC76" si="8">SUM(P45:T45)=D45</f>
        <v>1</v>
      </c>
      <c r="AD45" s="4" t="b">
        <f t="shared" si="4"/>
        <v>1</v>
      </c>
    </row>
    <row r="46" spans="1:43" x14ac:dyDescent="0.25">
      <c r="A46" s="25">
        <v>44578</v>
      </c>
      <c r="B46" s="22">
        <v>109828653</v>
      </c>
      <c r="C46" s="22">
        <v>51834424</v>
      </c>
      <c r="D46" s="22">
        <v>47637067</v>
      </c>
      <c r="E46" s="22">
        <v>10357162</v>
      </c>
      <c r="F46" s="22">
        <v>26421606</v>
      </c>
      <c r="G46" s="22">
        <v>44988294</v>
      </c>
      <c r="H46" s="22">
        <v>14637994</v>
      </c>
      <c r="I46" s="22">
        <v>20888141</v>
      </c>
      <c r="J46" s="22">
        <v>2892618</v>
      </c>
      <c r="K46" s="22">
        <v>22843640</v>
      </c>
      <c r="L46" s="22">
        <v>13572831</v>
      </c>
      <c r="M46" s="22">
        <v>7481715</v>
      </c>
      <c r="N46" s="22">
        <v>7302934</v>
      </c>
      <c r="O46" s="22">
        <v>633304</v>
      </c>
      <c r="P46" s="22">
        <v>3577966</v>
      </c>
      <c r="Q46" s="22">
        <v>28056734</v>
      </c>
      <c r="R46" s="22">
        <v>7156279</v>
      </c>
      <c r="S46" s="22">
        <v>8181081</v>
      </c>
      <c r="T46" s="22">
        <v>665007</v>
      </c>
      <c r="U46" s="22">
        <v>0</v>
      </c>
      <c r="V46" s="22">
        <v>3358729</v>
      </c>
      <c r="W46" s="22">
        <v>0</v>
      </c>
      <c r="X46" s="22">
        <v>5404126</v>
      </c>
      <c r="Y46" s="22">
        <v>1594307</v>
      </c>
      <c r="Z46" s="5" t="b">
        <f t="shared" si="5"/>
        <v>1</v>
      </c>
      <c r="AA46" s="6" t="b">
        <f t="shared" si="6"/>
        <v>1</v>
      </c>
      <c r="AB46" s="6" t="b">
        <f t="shared" si="7"/>
        <v>1</v>
      </c>
      <c r="AC46" s="4" t="b">
        <f t="shared" si="8"/>
        <v>1</v>
      </c>
      <c r="AD46" s="4" t="b">
        <f t="shared" si="4"/>
        <v>1</v>
      </c>
    </row>
    <row r="47" spans="1:43" x14ac:dyDescent="0.25">
      <c r="A47" s="25">
        <v>44585</v>
      </c>
      <c r="B47" s="22">
        <v>112759859</v>
      </c>
      <c r="C47" s="22">
        <v>52088514</v>
      </c>
      <c r="D47" s="22">
        <v>48208002</v>
      </c>
      <c r="E47" s="22">
        <v>12463343</v>
      </c>
      <c r="F47" s="22">
        <v>26435176</v>
      </c>
      <c r="G47" s="22">
        <v>45532513</v>
      </c>
      <c r="H47" s="22">
        <v>14666614</v>
      </c>
      <c r="I47" s="22">
        <v>22827137</v>
      </c>
      <c r="J47" s="22">
        <v>3298419</v>
      </c>
      <c r="K47" s="22">
        <v>22855699</v>
      </c>
      <c r="L47" s="22">
        <v>13649715</v>
      </c>
      <c r="M47" s="22">
        <v>7493784</v>
      </c>
      <c r="N47" s="22">
        <v>7422019</v>
      </c>
      <c r="O47" s="22">
        <v>667297</v>
      </c>
      <c r="P47" s="22">
        <v>3579477</v>
      </c>
      <c r="Q47" s="22">
        <v>28145490</v>
      </c>
      <c r="R47" s="22">
        <v>7172830</v>
      </c>
      <c r="S47" s="22">
        <v>8578137</v>
      </c>
      <c r="T47" s="22">
        <v>732068</v>
      </c>
      <c r="U47" s="22">
        <v>0</v>
      </c>
      <c r="V47" s="22">
        <v>3737308</v>
      </c>
      <c r="W47" s="22">
        <v>0</v>
      </c>
      <c r="X47" s="22">
        <v>6826981</v>
      </c>
      <c r="Y47" s="22">
        <v>1899054</v>
      </c>
      <c r="Z47" s="5" t="b">
        <f t="shared" si="5"/>
        <v>1</v>
      </c>
      <c r="AA47" s="6" t="b">
        <f t="shared" si="6"/>
        <v>1</v>
      </c>
      <c r="AB47" s="6" t="b">
        <f t="shared" si="7"/>
        <v>1</v>
      </c>
      <c r="AC47" s="5" t="b">
        <f t="shared" si="8"/>
        <v>1</v>
      </c>
      <c r="AD47" s="5" t="b">
        <f t="shared" si="4"/>
        <v>1</v>
      </c>
      <c r="AM47" s="12">
        <f>F47/SUM($F47:$J47)</f>
        <v>0.23443782419061024</v>
      </c>
      <c r="AN47" s="12">
        <f>G47/SUM($F47:$J47)</f>
        <v>0.40380072663978767</v>
      </c>
      <c r="AO47" s="12">
        <f>H47/SUM($F47:$J47)</f>
        <v>0.13006946026777136</v>
      </c>
      <c r="AP47" s="12">
        <f>I47/SUM($F47:$J47)</f>
        <v>0.20244027619793317</v>
      </c>
      <c r="AQ47" s="12">
        <f>J47/SUM($F47:$J47)</f>
        <v>2.9251712703897582E-2</v>
      </c>
    </row>
    <row r="48" spans="1:43" x14ac:dyDescent="0.25">
      <c r="A48" s="25">
        <v>44592</v>
      </c>
      <c r="B48" s="22">
        <v>115256516</v>
      </c>
      <c r="C48" s="22">
        <v>52331058</v>
      </c>
      <c r="D48" s="22">
        <v>48635307</v>
      </c>
      <c r="E48" s="22">
        <v>14290151</v>
      </c>
      <c r="F48" s="22">
        <v>26460140</v>
      </c>
      <c r="G48" s="22">
        <v>46067468</v>
      </c>
      <c r="H48" s="22">
        <v>14701818</v>
      </c>
      <c r="I48" s="22">
        <v>24445323</v>
      </c>
      <c r="J48" s="22">
        <v>3581767</v>
      </c>
      <c r="K48" s="22">
        <v>22876138</v>
      </c>
      <c r="L48" s="22">
        <v>13724343</v>
      </c>
      <c r="M48" s="22">
        <v>7513265</v>
      </c>
      <c r="N48" s="22">
        <v>7522050</v>
      </c>
      <c r="O48" s="22">
        <v>695262</v>
      </c>
      <c r="P48" s="22">
        <v>3584002</v>
      </c>
      <c r="Q48" s="22">
        <v>28235677</v>
      </c>
      <c r="R48" s="22">
        <v>7188553</v>
      </c>
      <c r="S48" s="22">
        <v>8870505</v>
      </c>
      <c r="T48" s="22">
        <v>756570</v>
      </c>
      <c r="U48" s="22">
        <v>0</v>
      </c>
      <c r="V48" s="22">
        <v>4107448</v>
      </c>
      <c r="W48" s="22">
        <v>0</v>
      </c>
      <c r="X48" s="22">
        <v>8052768</v>
      </c>
      <c r="Y48" s="22">
        <v>2129935</v>
      </c>
      <c r="Z48" s="5" t="b">
        <f t="shared" si="5"/>
        <v>1</v>
      </c>
      <c r="AA48" s="6" t="b">
        <f t="shared" si="6"/>
        <v>1</v>
      </c>
      <c r="AB48" s="6" t="b">
        <f t="shared" si="7"/>
        <v>1</v>
      </c>
      <c r="AC48" s="5" t="b">
        <f t="shared" si="8"/>
        <v>1</v>
      </c>
      <c r="AD48" s="5" t="b">
        <f t="shared" si="4"/>
        <v>1</v>
      </c>
    </row>
    <row r="49" spans="1:30" x14ac:dyDescent="0.25">
      <c r="A49" s="25">
        <v>44599</v>
      </c>
      <c r="B49" s="22">
        <v>117479975</v>
      </c>
      <c r="C49" s="22">
        <v>52528595</v>
      </c>
      <c r="D49" s="22">
        <v>48969726</v>
      </c>
      <c r="E49" s="22">
        <v>15981654</v>
      </c>
      <c r="F49" s="22">
        <v>26479777</v>
      </c>
      <c r="G49" s="22">
        <v>46421259</v>
      </c>
      <c r="H49" s="22">
        <v>14731431</v>
      </c>
      <c r="I49" s="22">
        <v>26054998</v>
      </c>
      <c r="J49" s="22">
        <v>3792510</v>
      </c>
      <c r="K49" s="22">
        <v>22881583</v>
      </c>
      <c r="L49" s="22">
        <v>13774997</v>
      </c>
      <c r="M49" s="22">
        <v>7520300</v>
      </c>
      <c r="N49" s="22">
        <v>7639546</v>
      </c>
      <c r="O49" s="22">
        <v>712169</v>
      </c>
      <c r="P49" s="22">
        <v>3598194</v>
      </c>
      <c r="Q49" s="22">
        <v>28302954</v>
      </c>
      <c r="R49" s="22">
        <v>7211131</v>
      </c>
      <c r="S49" s="22">
        <v>9086886</v>
      </c>
      <c r="T49" s="22">
        <v>770561</v>
      </c>
      <c r="U49" s="22">
        <v>0</v>
      </c>
      <c r="V49" s="22">
        <v>4343308</v>
      </c>
      <c r="W49" s="22">
        <v>0</v>
      </c>
      <c r="X49" s="22">
        <v>9328566</v>
      </c>
      <c r="Y49" s="22">
        <v>2309780</v>
      </c>
      <c r="Z49" s="5" t="b">
        <f t="shared" si="5"/>
        <v>1</v>
      </c>
      <c r="AA49" s="6" t="b">
        <f t="shared" si="6"/>
        <v>1</v>
      </c>
      <c r="AB49" s="6" t="b">
        <f t="shared" si="7"/>
        <v>1</v>
      </c>
      <c r="AC49" s="5" t="b">
        <f t="shared" si="8"/>
        <v>1</v>
      </c>
      <c r="AD49" s="5" t="b">
        <f t="shared" si="4"/>
        <v>1</v>
      </c>
    </row>
    <row r="50" spans="1:30" x14ac:dyDescent="0.25">
      <c r="A50" s="25">
        <v>44606</v>
      </c>
      <c r="B50" s="22">
        <v>120217187</v>
      </c>
      <c r="C50" s="22">
        <v>52823235</v>
      </c>
      <c r="D50" s="22">
        <v>49255942</v>
      </c>
      <c r="E50" s="22">
        <v>18138010</v>
      </c>
      <c r="F50" s="22">
        <v>26486185</v>
      </c>
      <c r="G50" s="22">
        <v>46858522</v>
      </c>
      <c r="H50" s="22">
        <v>14751464</v>
      </c>
      <c r="I50" s="22">
        <v>27790173</v>
      </c>
      <c r="J50" s="22">
        <v>4330843</v>
      </c>
      <c r="K50" s="22">
        <v>22887580</v>
      </c>
      <c r="L50" s="22">
        <v>13821252</v>
      </c>
      <c r="M50" s="22">
        <v>7530183</v>
      </c>
      <c r="N50" s="22">
        <v>7855825</v>
      </c>
      <c r="O50" s="22">
        <v>728395</v>
      </c>
      <c r="P50" s="22">
        <v>3598605</v>
      </c>
      <c r="Q50" s="22">
        <v>28361186</v>
      </c>
      <c r="R50" s="22">
        <v>7221281</v>
      </c>
      <c r="S50" s="22">
        <v>9287177</v>
      </c>
      <c r="T50" s="22">
        <v>787693</v>
      </c>
      <c r="U50" s="22">
        <v>0</v>
      </c>
      <c r="V50" s="22">
        <v>4676084</v>
      </c>
      <c r="W50" s="22">
        <v>0</v>
      </c>
      <c r="X50" s="22">
        <v>10647171</v>
      </c>
      <c r="Y50" s="22">
        <v>2814755</v>
      </c>
      <c r="Z50" s="5" t="b">
        <f t="shared" si="5"/>
        <v>1</v>
      </c>
      <c r="AA50" s="6" t="b">
        <f t="shared" si="6"/>
        <v>1</v>
      </c>
      <c r="AB50" s="6" t="b">
        <f t="shared" si="7"/>
        <v>1</v>
      </c>
      <c r="AC50" s="5" t="b">
        <f t="shared" si="8"/>
        <v>1</v>
      </c>
      <c r="AD50" s="5" t="b">
        <f t="shared" si="4"/>
        <v>1</v>
      </c>
    </row>
    <row r="51" spans="1:30" x14ac:dyDescent="0.25">
      <c r="A51" s="25">
        <v>44613</v>
      </c>
      <c r="B51" s="22">
        <v>121915999</v>
      </c>
      <c r="C51" s="22">
        <v>53163555</v>
      </c>
      <c r="D51" s="22">
        <v>49496871</v>
      </c>
      <c r="E51" s="22">
        <v>19255573</v>
      </c>
      <c r="F51" s="22">
        <v>26493638</v>
      </c>
      <c r="G51" s="22">
        <v>47087935</v>
      </c>
      <c r="H51" s="22">
        <v>14766107</v>
      </c>
      <c r="I51" s="22">
        <v>29013352</v>
      </c>
      <c r="J51" s="22">
        <v>4554967</v>
      </c>
      <c r="K51" s="22">
        <v>22894763</v>
      </c>
      <c r="L51" s="22">
        <v>13852472</v>
      </c>
      <c r="M51" s="22">
        <v>7536522</v>
      </c>
      <c r="N51" s="22">
        <v>8139821</v>
      </c>
      <c r="O51" s="22">
        <v>739977</v>
      </c>
      <c r="P51" s="22">
        <v>3598875</v>
      </c>
      <c r="Q51" s="22">
        <v>28410319</v>
      </c>
      <c r="R51" s="22">
        <v>7229585</v>
      </c>
      <c r="S51" s="22">
        <v>9442737</v>
      </c>
      <c r="T51" s="22">
        <v>815355</v>
      </c>
      <c r="U51" s="22">
        <v>0</v>
      </c>
      <c r="V51" s="22">
        <v>4825144</v>
      </c>
      <c r="W51" s="22">
        <v>0</v>
      </c>
      <c r="X51" s="22">
        <v>11430794</v>
      </c>
      <c r="Y51" s="22">
        <v>2999635</v>
      </c>
      <c r="Z51" s="5" t="b">
        <f t="shared" si="5"/>
        <v>1</v>
      </c>
      <c r="AA51" s="6" t="b">
        <f t="shared" si="6"/>
        <v>1</v>
      </c>
      <c r="AB51" s="6" t="b">
        <f t="shared" si="7"/>
        <v>1</v>
      </c>
      <c r="AC51" s="5" t="b">
        <f t="shared" si="8"/>
        <v>1</v>
      </c>
      <c r="AD51" s="5" t="b">
        <f t="shared" si="4"/>
        <v>1</v>
      </c>
    </row>
    <row r="52" spans="1:30" x14ac:dyDescent="0.25">
      <c r="A52" s="25">
        <v>44620</v>
      </c>
      <c r="B52" s="22">
        <v>123809855</v>
      </c>
      <c r="C52" s="22">
        <v>53578024</v>
      </c>
      <c r="D52" s="22">
        <v>49739006</v>
      </c>
      <c r="E52" s="22">
        <v>20492825</v>
      </c>
      <c r="F52" s="22">
        <v>26506529</v>
      </c>
      <c r="G52" s="22">
        <v>47328333</v>
      </c>
      <c r="H52" s="22">
        <v>14826236</v>
      </c>
      <c r="I52" s="22">
        <v>30399418</v>
      </c>
      <c r="J52" s="22">
        <v>4749339</v>
      </c>
      <c r="K52" s="22">
        <v>22900616</v>
      </c>
      <c r="L52" s="22">
        <v>13885746</v>
      </c>
      <c r="M52" s="22">
        <v>7542894</v>
      </c>
      <c r="N52" s="22">
        <v>8499196</v>
      </c>
      <c r="O52" s="22">
        <v>749572</v>
      </c>
      <c r="P52" s="22">
        <v>3599161</v>
      </c>
      <c r="Q52" s="22">
        <v>28454570</v>
      </c>
      <c r="R52" s="22">
        <v>7236296</v>
      </c>
      <c r="S52" s="22">
        <v>9608263</v>
      </c>
      <c r="T52" s="22">
        <v>840716</v>
      </c>
      <c r="U52" s="22">
        <v>6752</v>
      </c>
      <c r="V52" s="22">
        <v>4988017</v>
      </c>
      <c r="W52" s="22">
        <v>47046</v>
      </c>
      <c r="X52" s="22">
        <v>12291959</v>
      </c>
      <c r="Y52" s="22">
        <v>3159051</v>
      </c>
      <c r="Z52" s="5" t="b">
        <f t="shared" si="5"/>
        <v>1</v>
      </c>
      <c r="AA52" s="6" t="b">
        <f t="shared" si="6"/>
        <v>1</v>
      </c>
      <c r="AB52" s="6" t="b">
        <f t="shared" si="7"/>
        <v>1</v>
      </c>
      <c r="AC52" s="5" t="b">
        <f t="shared" si="8"/>
        <v>1</v>
      </c>
      <c r="AD52" s="5" t="b">
        <f t="shared" si="4"/>
        <v>1</v>
      </c>
    </row>
    <row r="53" spans="1:30" x14ac:dyDescent="0.25">
      <c r="A53" s="25">
        <v>44627</v>
      </c>
      <c r="B53" s="22">
        <v>125036572</v>
      </c>
      <c r="C53" s="22">
        <v>53983869</v>
      </c>
      <c r="D53" s="22">
        <v>49878379</v>
      </c>
      <c r="E53" s="22">
        <v>21174324</v>
      </c>
      <c r="F53" s="22">
        <v>26504369</v>
      </c>
      <c r="G53" s="22">
        <v>47483330</v>
      </c>
      <c r="H53" s="22">
        <v>14791024</v>
      </c>
      <c r="I53" s="22">
        <v>31349297</v>
      </c>
      <c r="J53" s="22">
        <v>4908552</v>
      </c>
      <c r="K53" s="22">
        <v>22904895</v>
      </c>
      <c r="L53" s="22">
        <v>13910667</v>
      </c>
      <c r="M53" s="22">
        <v>7550052</v>
      </c>
      <c r="N53" s="22">
        <v>8861820</v>
      </c>
      <c r="O53" s="22">
        <v>756435</v>
      </c>
      <c r="P53" s="22">
        <v>3599474</v>
      </c>
      <c r="Q53" s="22">
        <v>28480950</v>
      </c>
      <c r="R53" s="22">
        <v>7240972</v>
      </c>
      <c r="S53" s="22">
        <v>9699166</v>
      </c>
      <c r="T53" s="22">
        <v>857817</v>
      </c>
      <c r="U53" s="22">
        <v>0</v>
      </c>
      <c r="V53" s="22">
        <v>5091713</v>
      </c>
      <c r="W53" s="22">
        <v>0</v>
      </c>
      <c r="X53" s="22">
        <v>12788311</v>
      </c>
      <c r="Y53" s="22">
        <v>3294300</v>
      </c>
      <c r="Z53" s="5" t="b">
        <f t="shared" si="5"/>
        <v>1</v>
      </c>
      <c r="AA53" s="6" t="b">
        <f t="shared" si="6"/>
        <v>1</v>
      </c>
      <c r="AB53" s="6" t="b">
        <f t="shared" si="7"/>
        <v>1</v>
      </c>
      <c r="AC53" s="5" t="b">
        <f t="shared" si="8"/>
        <v>1</v>
      </c>
      <c r="AD53" s="5" t="b">
        <f t="shared" si="4"/>
        <v>1</v>
      </c>
    </row>
    <row r="54" spans="1:30" x14ac:dyDescent="0.25">
      <c r="A54" s="25">
        <v>44634</v>
      </c>
      <c r="B54" s="22">
        <v>126267971</v>
      </c>
      <c r="C54" s="22">
        <v>54453850</v>
      </c>
      <c r="D54" s="22">
        <v>50002849</v>
      </c>
      <c r="E54" s="22">
        <v>21811272</v>
      </c>
      <c r="F54" s="22">
        <v>26509591</v>
      </c>
      <c r="G54" s="22">
        <v>47631034</v>
      </c>
      <c r="H54" s="22">
        <v>14799903</v>
      </c>
      <c r="I54" s="22">
        <v>32278294</v>
      </c>
      <c r="J54" s="22">
        <v>5049149</v>
      </c>
      <c r="K54" s="22">
        <v>22909697</v>
      </c>
      <c r="L54" s="22">
        <v>13933923</v>
      </c>
      <c r="M54" s="22">
        <v>7553909</v>
      </c>
      <c r="N54" s="22">
        <v>9294088</v>
      </c>
      <c r="O54" s="22">
        <v>762233</v>
      </c>
      <c r="P54" s="22">
        <v>3599894</v>
      </c>
      <c r="Q54" s="22">
        <v>28503018</v>
      </c>
      <c r="R54" s="22">
        <v>7245994</v>
      </c>
      <c r="S54" s="22">
        <v>9780855</v>
      </c>
      <c r="T54" s="22">
        <v>873088</v>
      </c>
      <c r="U54" s="22">
        <v>0</v>
      </c>
      <c r="V54" s="22">
        <v>5194093</v>
      </c>
      <c r="W54" s="22">
        <v>0</v>
      </c>
      <c r="X54" s="22">
        <v>13203351</v>
      </c>
      <c r="Y54" s="22">
        <v>3413828</v>
      </c>
      <c r="Z54" s="5" t="b">
        <f t="shared" si="5"/>
        <v>1</v>
      </c>
      <c r="AA54" s="6" t="b">
        <f t="shared" si="6"/>
        <v>1</v>
      </c>
      <c r="AB54" s="6" t="b">
        <f t="shared" si="7"/>
        <v>1</v>
      </c>
      <c r="AC54" s="5" t="b">
        <f t="shared" si="8"/>
        <v>1</v>
      </c>
      <c r="AD54" s="5" t="b">
        <f t="shared" si="4"/>
        <v>1</v>
      </c>
    </row>
    <row r="55" spans="1:30" x14ac:dyDescent="0.25">
      <c r="A55" s="25">
        <v>44641</v>
      </c>
      <c r="B55" s="22">
        <v>127488916</v>
      </c>
      <c r="C55" s="22">
        <v>54912758</v>
      </c>
      <c r="D55" s="22">
        <v>50127010</v>
      </c>
      <c r="E55" s="22">
        <v>22449148</v>
      </c>
      <c r="F55" s="22">
        <v>26514992</v>
      </c>
      <c r="G55" s="22">
        <v>47781848</v>
      </c>
      <c r="H55" s="22">
        <v>14809517</v>
      </c>
      <c r="I55" s="22">
        <v>33212584</v>
      </c>
      <c r="J55" s="22">
        <v>5169975</v>
      </c>
      <c r="K55" s="22">
        <v>22913695</v>
      </c>
      <c r="L55" s="22">
        <v>13955923</v>
      </c>
      <c r="M55" s="22">
        <v>7558346</v>
      </c>
      <c r="N55" s="22">
        <v>9717335</v>
      </c>
      <c r="O55" s="22">
        <v>767459</v>
      </c>
      <c r="P55" s="22">
        <v>3601297</v>
      </c>
      <c r="Q55" s="22">
        <v>28526577</v>
      </c>
      <c r="R55" s="22">
        <v>7251171</v>
      </c>
      <c r="S55" s="22">
        <v>9863744</v>
      </c>
      <c r="T55" s="22">
        <v>884221</v>
      </c>
      <c r="U55" s="22">
        <v>0</v>
      </c>
      <c r="V55" s="22">
        <v>5299348</v>
      </c>
      <c r="W55" s="22">
        <v>0</v>
      </c>
      <c r="X55" s="22">
        <v>13631505</v>
      </c>
      <c r="Y55" s="22">
        <v>3518295</v>
      </c>
      <c r="Z55" s="5" t="b">
        <f t="shared" si="5"/>
        <v>1</v>
      </c>
      <c r="AA55" s="6" t="b">
        <f t="shared" si="6"/>
        <v>1</v>
      </c>
      <c r="AB55" s="6" t="b">
        <f t="shared" si="7"/>
        <v>1</v>
      </c>
      <c r="AC55" s="5" t="b">
        <f t="shared" si="8"/>
        <v>1</v>
      </c>
      <c r="AD55" s="5" t="b">
        <f t="shared" si="4"/>
        <v>1</v>
      </c>
    </row>
    <row r="56" spans="1:30" x14ac:dyDescent="0.25">
      <c r="A56" s="25">
        <v>44648</v>
      </c>
      <c r="B56" s="22">
        <v>128882039</v>
      </c>
      <c r="C56" s="22">
        <v>55353039</v>
      </c>
      <c r="D56" s="22">
        <v>50257501</v>
      </c>
      <c r="E56" s="22">
        <v>23271499</v>
      </c>
      <c r="F56" s="22">
        <v>26517640</v>
      </c>
      <c r="G56" s="22">
        <v>47986163</v>
      </c>
      <c r="H56" s="22">
        <v>14819212</v>
      </c>
      <c r="I56" s="22">
        <v>34255297</v>
      </c>
      <c r="J56" s="22">
        <v>5303727</v>
      </c>
      <c r="K56" s="22">
        <v>22915251</v>
      </c>
      <c r="L56" s="22">
        <v>13982944</v>
      </c>
      <c r="M56" s="22">
        <v>7563087</v>
      </c>
      <c r="N56" s="22">
        <v>10119106</v>
      </c>
      <c r="O56" s="22">
        <v>772651</v>
      </c>
      <c r="P56" s="22">
        <v>3602389</v>
      </c>
      <c r="Q56" s="22">
        <v>28549838</v>
      </c>
      <c r="R56" s="22">
        <v>7256125</v>
      </c>
      <c r="S56" s="22">
        <v>9954778</v>
      </c>
      <c r="T56" s="22">
        <v>894371</v>
      </c>
      <c r="U56" s="22">
        <v>0</v>
      </c>
      <c r="V56" s="22">
        <v>5453381</v>
      </c>
      <c r="W56" s="22">
        <v>0</v>
      </c>
      <c r="X56" s="22">
        <v>14181413</v>
      </c>
      <c r="Y56" s="22">
        <v>3636705</v>
      </c>
      <c r="Z56" s="5" t="b">
        <f t="shared" si="5"/>
        <v>1</v>
      </c>
      <c r="AA56" s="6" t="b">
        <f t="shared" si="6"/>
        <v>1</v>
      </c>
      <c r="AB56" s="6" t="b">
        <f t="shared" si="7"/>
        <v>1</v>
      </c>
      <c r="AC56" s="5" t="b">
        <f t="shared" si="8"/>
        <v>1</v>
      </c>
      <c r="AD56" s="5" t="b">
        <f t="shared" si="4"/>
        <v>1</v>
      </c>
    </row>
    <row r="57" spans="1:30" x14ac:dyDescent="0.25">
      <c r="A57" s="24">
        <v>44654</v>
      </c>
      <c r="B57" s="22">
        <v>130139978</v>
      </c>
      <c r="C57" s="22">
        <v>55692042</v>
      </c>
      <c r="D57" s="22">
        <v>50387921</v>
      </c>
      <c r="E57" s="22">
        <v>24060015</v>
      </c>
      <c r="F57" s="22">
        <v>26519522</v>
      </c>
      <c r="G57" s="22">
        <v>48152053</v>
      </c>
      <c r="H57" s="22">
        <v>14826655</v>
      </c>
      <c r="I57" s="22">
        <v>35234563</v>
      </c>
      <c r="J57" s="22">
        <v>5407185</v>
      </c>
      <c r="K57" s="22">
        <v>22916213</v>
      </c>
      <c r="L57" s="22">
        <v>14005058</v>
      </c>
      <c r="M57" s="22">
        <v>7566761</v>
      </c>
      <c r="N57" s="22">
        <v>10427008</v>
      </c>
      <c r="O57" s="22">
        <v>777002</v>
      </c>
      <c r="P57" s="22">
        <v>3603309</v>
      </c>
      <c r="Q57" s="22">
        <v>28566221</v>
      </c>
      <c r="R57" s="22">
        <v>7259894</v>
      </c>
      <c r="S57" s="22">
        <v>10058345</v>
      </c>
      <c r="T57" s="22">
        <v>900152</v>
      </c>
      <c r="U57" s="22">
        <v>0</v>
      </c>
      <c r="V57" s="22">
        <v>5580774</v>
      </c>
      <c r="W57" s="22">
        <v>0</v>
      </c>
      <c r="X57" s="22">
        <v>14749210</v>
      </c>
      <c r="Y57" s="22">
        <v>3730031</v>
      </c>
      <c r="Z57" s="5" t="b">
        <f t="shared" si="5"/>
        <v>1</v>
      </c>
      <c r="AA57" s="6" t="b">
        <f t="shared" si="6"/>
        <v>1</v>
      </c>
      <c r="AB57" s="6" t="b">
        <f t="shared" si="7"/>
        <v>1</v>
      </c>
      <c r="AC57" s="5" t="b">
        <f t="shared" si="8"/>
        <v>1</v>
      </c>
      <c r="AD57" s="5" t="b">
        <f t="shared" ref="AD57:AD85" si="9">SUM(U57:Y57)=E57</f>
        <v>1</v>
      </c>
    </row>
    <row r="58" spans="1:30" x14ac:dyDescent="0.25">
      <c r="A58" s="25">
        <v>44662</v>
      </c>
      <c r="B58" s="22">
        <v>131325546</v>
      </c>
      <c r="C58" s="22">
        <v>55940125</v>
      </c>
      <c r="D58" s="22">
        <v>50610252</v>
      </c>
      <c r="E58" s="22">
        <v>24775169</v>
      </c>
      <c r="F58" s="22">
        <v>26520726</v>
      </c>
      <c r="G58" s="22">
        <v>48247237</v>
      </c>
      <c r="H58" s="22">
        <v>14833533</v>
      </c>
      <c r="I58" s="22">
        <v>36196652</v>
      </c>
      <c r="J58" s="22">
        <v>5527398</v>
      </c>
      <c r="K58" s="22">
        <v>22916900</v>
      </c>
      <c r="L58" s="22">
        <v>14018287</v>
      </c>
      <c r="M58" s="22">
        <v>7569652</v>
      </c>
      <c r="N58" s="22">
        <v>10653024</v>
      </c>
      <c r="O58" s="22">
        <v>782262</v>
      </c>
      <c r="P58" s="22">
        <v>3603826</v>
      </c>
      <c r="Q58" s="22">
        <v>28581953</v>
      </c>
      <c r="R58" s="22">
        <v>7263881</v>
      </c>
      <c r="S58" s="22">
        <v>10253755</v>
      </c>
      <c r="T58" s="22">
        <v>906837</v>
      </c>
      <c r="U58" s="22">
        <v>0</v>
      </c>
      <c r="V58" s="22">
        <v>5646997</v>
      </c>
      <c r="W58" s="22">
        <v>0</v>
      </c>
      <c r="X58" s="22">
        <v>15289873</v>
      </c>
      <c r="Y58" s="22">
        <v>3838299</v>
      </c>
      <c r="Z58" s="5" t="b">
        <f t="shared" si="5"/>
        <v>1</v>
      </c>
      <c r="AA58" s="6" t="b">
        <f t="shared" si="6"/>
        <v>1</v>
      </c>
      <c r="AB58" s="6" t="b">
        <f t="shared" si="7"/>
        <v>1</v>
      </c>
      <c r="AC58" s="5" t="b">
        <f t="shared" si="8"/>
        <v>1</v>
      </c>
      <c r="AD58" s="5" t="b">
        <f t="shared" si="9"/>
        <v>1</v>
      </c>
    </row>
    <row r="59" spans="1:30" x14ac:dyDescent="0.25">
      <c r="A59" s="25">
        <v>44669</v>
      </c>
      <c r="B59" s="22">
        <v>131707883</v>
      </c>
      <c r="C59" s="22">
        <v>56011444</v>
      </c>
      <c r="D59" s="22">
        <v>50678940</v>
      </c>
      <c r="E59" s="22">
        <v>25017499</v>
      </c>
      <c r="F59" s="22">
        <v>26521193</v>
      </c>
      <c r="G59" s="22">
        <v>48279656</v>
      </c>
      <c r="H59" s="22">
        <v>14835710</v>
      </c>
      <c r="I59" s="22">
        <v>36510751</v>
      </c>
      <c r="J59" s="22">
        <v>5560573</v>
      </c>
      <c r="K59" s="22">
        <v>22917181</v>
      </c>
      <c r="L59" s="22">
        <v>14023382</v>
      </c>
      <c r="M59" s="22">
        <v>7570792</v>
      </c>
      <c r="N59" s="22">
        <v>10716315</v>
      </c>
      <c r="O59" s="22">
        <v>783774</v>
      </c>
      <c r="P59" s="22">
        <v>3604012</v>
      </c>
      <c r="Q59" s="22">
        <v>28587215</v>
      </c>
      <c r="R59" s="22">
        <v>7264918</v>
      </c>
      <c r="S59" s="22">
        <v>10313911</v>
      </c>
      <c r="T59" s="22">
        <v>908884</v>
      </c>
      <c r="U59" s="22">
        <v>0</v>
      </c>
      <c r="V59" s="22">
        <v>5669059</v>
      </c>
      <c r="W59" s="22">
        <v>0</v>
      </c>
      <c r="X59" s="22">
        <v>15480525</v>
      </c>
      <c r="Y59" s="22">
        <v>3867915</v>
      </c>
      <c r="Z59" s="5" t="b">
        <f t="shared" si="5"/>
        <v>1</v>
      </c>
      <c r="AA59" s="6" t="b">
        <f t="shared" si="6"/>
        <v>1</v>
      </c>
      <c r="AB59" s="6" t="b">
        <f t="shared" si="7"/>
        <v>1</v>
      </c>
      <c r="AC59" s="5" t="b">
        <f t="shared" si="8"/>
        <v>1</v>
      </c>
      <c r="AD59" s="5" t="b">
        <f t="shared" si="9"/>
        <v>1</v>
      </c>
    </row>
    <row r="60" spans="1:30" x14ac:dyDescent="0.25">
      <c r="A60" s="25">
        <v>44676</v>
      </c>
      <c r="B60" s="22">
        <v>132693207</v>
      </c>
      <c r="C60" s="22">
        <v>56162809</v>
      </c>
      <c r="D60" s="22">
        <v>51027660</v>
      </c>
      <c r="E60" s="22">
        <v>25502738</v>
      </c>
      <c r="F60" s="22">
        <v>26522176</v>
      </c>
      <c r="G60" s="22">
        <v>48339784</v>
      </c>
      <c r="H60" s="22">
        <v>14840795</v>
      </c>
      <c r="I60" s="22">
        <v>37319088</v>
      </c>
      <c r="J60" s="22">
        <v>5671364</v>
      </c>
      <c r="K60" s="22">
        <v>22917696</v>
      </c>
      <c r="L60" s="22">
        <v>14033214</v>
      </c>
      <c r="M60" s="22">
        <v>7572380</v>
      </c>
      <c r="N60" s="22">
        <v>10852475</v>
      </c>
      <c r="O60" s="22">
        <v>787044</v>
      </c>
      <c r="P60" s="22">
        <v>3604480</v>
      </c>
      <c r="Q60" s="22">
        <v>28602054</v>
      </c>
      <c r="R60" s="22">
        <v>7268415</v>
      </c>
      <c r="S60" s="22">
        <v>10637227</v>
      </c>
      <c r="T60" s="22">
        <v>915484</v>
      </c>
      <c r="U60" s="22">
        <v>0</v>
      </c>
      <c r="V60" s="22">
        <v>5704516</v>
      </c>
      <c r="W60" s="22">
        <v>0</v>
      </c>
      <c r="X60" s="22">
        <v>15829386</v>
      </c>
      <c r="Y60" s="22">
        <v>3968836</v>
      </c>
      <c r="Z60" s="5" t="b">
        <f t="shared" si="5"/>
        <v>1</v>
      </c>
      <c r="AA60" s="6" t="b">
        <f t="shared" si="6"/>
        <v>1</v>
      </c>
      <c r="AB60" s="6" t="b">
        <f t="shared" si="7"/>
        <v>1</v>
      </c>
      <c r="AC60" s="5" t="b">
        <f t="shared" si="8"/>
        <v>1</v>
      </c>
      <c r="AD60" s="5" t="b">
        <f t="shared" si="9"/>
        <v>1</v>
      </c>
    </row>
    <row r="61" spans="1:30" x14ac:dyDescent="0.25">
      <c r="A61" s="25">
        <v>44683</v>
      </c>
      <c r="B61" s="22">
        <v>133927344</v>
      </c>
      <c r="C61" s="22">
        <v>56311711</v>
      </c>
      <c r="D61" s="22">
        <v>51365679</v>
      </c>
      <c r="E61" s="22">
        <v>26249954</v>
      </c>
      <c r="F61" s="22">
        <v>26523131</v>
      </c>
      <c r="G61" s="22">
        <v>48402539</v>
      </c>
      <c r="H61" s="22">
        <v>14843704</v>
      </c>
      <c r="I61" s="22">
        <v>38371330</v>
      </c>
      <c r="J61" s="22">
        <v>5786640</v>
      </c>
      <c r="K61" s="22">
        <v>22918361</v>
      </c>
      <c r="L61" s="22">
        <v>14042495</v>
      </c>
      <c r="M61" s="22">
        <v>7573380</v>
      </c>
      <c r="N61" s="22">
        <v>10988090</v>
      </c>
      <c r="O61" s="22">
        <v>789385</v>
      </c>
      <c r="P61" s="22">
        <v>3604770</v>
      </c>
      <c r="Q61" s="22">
        <v>28613507</v>
      </c>
      <c r="R61" s="22">
        <v>7270324</v>
      </c>
      <c r="S61" s="22">
        <v>10957378</v>
      </c>
      <c r="T61" s="22">
        <v>919700</v>
      </c>
      <c r="U61" s="22">
        <v>0</v>
      </c>
      <c r="V61" s="22">
        <v>5746537</v>
      </c>
      <c r="W61" s="22">
        <v>0</v>
      </c>
      <c r="X61" s="22">
        <v>16425862</v>
      </c>
      <c r="Y61" s="22">
        <v>4077555</v>
      </c>
      <c r="Z61" s="5" t="b">
        <f t="shared" si="5"/>
        <v>1</v>
      </c>
      <c r="AA61" s="6" t="b">
        <f t="shared" si="6"/>
        <v>1</v>
      </c>
      <c r="AB61" s="6" t="b">
        <f t="shared" si="7"/>
        <v>1</v>
      </c>
      <c r="AC61" s="5" t="b">
        <f t="shared" si="8"/>
        <v>1</v>
      </c>
      <c r="AD61" s="5" t="b">
        <f t="shared" si="9"/>
        <v>1</v>
      </c>
    </row>
    <row r="62" spans="1:30" x14ac:dyDescent="0.25">
      <c r="A62" s="25">
        <v>44690</v>
      </c>
      <c r="B62" s="22">
        <v>134791823</v>
      </c>
      <c r="C62" s="22">
        <v>56417597</v>
      </c>
      <c r="D62" s="22">
        <v>51676317</v>
      </c>
      <c r="E62" s="22">
        <v>26697909</v>
      </c>
      <c r="F62" s="22">
        <v>26523735</v>
      </c>
      <c r="G62" s="22">
        <v>48439309</v>
      </c>
      <c r="H62" s="22">
        <v>14847358</v>
      </c>
      <c r="I62" s="22">
        <v>39115860</v>
      </c>
      <c r="J62" s="22">
        <v>5865561</v>
      </c>
      <c r="K62" s="22">
        <v>22918821</v>
      </c>
      <c r="L62" s="22">
        <v>14047975</v>
      </c>
      <c r="M62" s="22">
        <v>7574980</v>
      </c>
      <c r="N62" s="22">
        <v>11084210</v>
      </c>
      <c r="O62" s="22">
        <v>791611</v>
      </c>
      <c r="P62" s="22">
        <v>3604914</v>
      </c>
      <c r="Q62" s="22">
        <v>28620813</v>
      </c>
      <c r="R62" s="22">
        <v>7272378</v>
      </c>
      <c r="S62" s="22">
        <v>11254673</v>
      </c>
      <c r="T62" s="22">
        <v>923539</v>
      </c>
      <c r="U62" s="22">
        <v>0</v>
      </c>
      <c r="V62" s="22">
        <v>5770521</v>
      </c>
      <c r="W62" s="22">
        <v>0</v>
      </c>
      <c r="X62" s="22">
        <v>16776977</v>
      </c>
      <c r="Y62" s="22">
        <v>4150411</v>
      </c>
      <c r="Z62" s="5" t="b">
        <f t="shared" si="5"/>
        <v>1</v>
      </c>
      <c r="AA62" s="6" t="b">
        <f t="shared" si="6"/>
        <v>1</v>
      </c>
      <c r="AB62" s="6" t="b">
        <f t="shared" si="7"/>
        <v>1</v>
      </c>
      <c r="AC62" s="5" t="b">
        <f t="shared" si="8"/>
        <v>1</v>
      </c>
      <c r="AD62" s="5" t="b">
        <f t="shared" si="9"/>
        <v>1</v>
      </c>
    </row>
    <row r="63" spans="1:30" x14ac:dyDescent="0.25">
      <c r="A63" s="25">
        <v>44697</v>
      </c>
      <c r="B63" s="22">
        <v>135697195</v>
      </c>
      <c r="C63" s="22">
        <v>56526942</v>
      </c>
      <c r="D63" s="22">
        <v>51977479</v>
      </c>
      <c r="E63" s="22">
        <v>27192774</v>
      </c>
      <c r="F63" s="22">
        <v>26524909</v>
      </c>
      <c r="G63" s="22">
        <v>48470965</v>
      </c>
      <c r="H63" s="22">
        <v>14849640</v>
      </c>
      <c r="I63" s="22">
        <v>39904145</v>
      </c>
      <c r="J63" s="22">
        <v>5947536</v>
      </c>
      <c r="K63" s="22">
        <v>22919906</v>
      </c>
      <c r="L63" s="22">
        <v>14054357</v>
      </c>
      <c r="M63" s="22">
        <v>7575976</v>
      </c>
      <c r="N63" s="22">
        <v>11183115</v>
      </c>
      <c r="O63" s="22">
        <v>793588</v>
      </c>
      <c r="P63" s="22">
        <v>3605003</v>
      </c>
      <c r="Q63" s="22">
        <v>28627193</v>
      </c>
      <c r="R63" s="22">
        <v>7273664</v>
      </c>
      <c r="S63" s="22">
        <v>11545425</v>
      </c>
      <c r="T63" s="22">
        <v>926194</v>
      </c>
      <c r="U63" s="22">
        <v>0</v>
      </c>
      <c r="V63" s="22">
        <v>5789415</v>
      </c>
      <c r="W63" s="22">
        <v>0</v>
      </c>
      <c r="X63" s="22">
        <v>17175605</v>
      </c>
      <c r="Y63" s="22">
        <v>4227754</v>
      </c>
      <c r="Z63" s="5" t="b">
        <f t="shared" si="5"/>
        <v>1</v>
      </c>
      <c r="AA63" s="6" t="b">
        <f t="shared" si="6"/>
        <v>1</v>
      </c>
      <c r="AB63" s="6" t="b">
        <f t="shared" si="7"/>
        <v>1</v>
      </c>
      <c r="AC63" s="5" t="b">
        <f t="shared" si="8"/>
        <v>1</v>
      </c>
      <c r="AD63" s="5" t="b">
        <f t="shared" si="9"/>
        <v>1</v>
      </c>
    </row>
    <row r="64" spans="1:30" x14ac:dyDescent="0.25">
      <c r="A64" s="25">
        <v>44704</v>
      </c>
      <c r="B64" s="22">
        <v>136648287</v>
      </c>
      <c r="C64" s="22">
        <v>56625088</v>
      </c>
      <c r="D64" s="22">
        <v>52323889</v>
      </c>
      <c r="E64" s="22">
        <v>27699310</v>
      </c>
      <c r="F64" s="22">
        <v>26526691</v>
      </c>
      <c r="G64" s="22">
        <v>48504513</v>
      </c>
      <c r="H64" s="22">
        <v>14851622</v>
      </c>
      <c r="I64" s="22">
        <v>40729155</v>
      </c>
      <c r="J64" s="22">
        <v>6036306</v>
      </c>
      <c r="K64" s="22">
        <v>22921527</v>
      </c>
      <c r="L64" s="22">
        <v>14059947</v>
      </c>
      <c r="M64" s="22">
        <v>7576656</v>
      </c>
      <c r="N64" s="22">
        <v>11271411</v>
      </c>
      <c r="O64" s="22">
        <v>795547</v>
      </c>
      <c r="P64" s="22">
        <v>3605164</v>
      </c>
      <c r="Q64" s="22">
        <v>28634938</v>
      </c>
      <c r="R64" s="22">
        <v>7274966</v>
      </c>
      <c r="S64" s="22">
        <v>11879565</v>
      </c>
      <c r="T64" s="22">
        <v>929256</v>
      </c>
      <c r="U64" s="22">
        <v>0</v>
      </c>
      <c r="V64" s="22">
        <v>5809628</v>
      </c>
      <c r="W64" s="22">
        <v>0</v>
      </c>
      <c r="X64" s="22">
        <v>17578179</v>
      </c>
      <c r="Y64" s="22">
        <v>4311503</v>
      </c>
      <c r="Z64" s="5" t="b">
        <f t="shared" si="5"/>
        <v>1</v>
      </c>
      <c r="AA64" s="6" t="b">
        <f t="shared" si="6"/>
        <v>1</v>
      </c>
      <c r="AB64" s="6" t="b">
        <f t="shared" si="7"/>
        <v>1</v>
      </c>
      <c r="AC64" s="5" t="b">
        <f t="shared" si="8"/>
        <v>1</v>
      </c>
      <c r="AD64" s="5" t="b">
        <f t="shared" si="9"/>
        <v>1</v>
      </c>
    </row>
    <row r="65" spans="1:30" x14ac:dyDescent="0.25">
      <c r="A65" s="25">
        <v>44711</v>
      </c>
      <c r="B65" s="22">
        <v>137642238</v>
      </c>
      <c r="C65" s="22">
        <v>56736301</v>
      </c>
      <c r="D65" s="22">
        <v>52637512</v>
      </c>
      <c r="E65" s="22">
        <v>28268425</v>
      </c>
      <c r="F65" s="22">
        <v>26527418</v>
      </c>
      <c r="G65" s="22">
        <v>48536627</v>
      </c>
      <c r="H65" s="22">
        <v>14852942</v>
      </c>
      <c r="I65" s="22">
        <v>41588413</v>
      </c>
      <c r="J65" s="22">
        <v>6136838</v>
      </c>
      <c r="K65" s="22">
        <v>22921997</v>
      </c>
      <c r="L65" s="22">
        <v>14065025</v>
      </c>
      <c r="M65" s="22">
        <v>7577100</v>
      </c>
      <c r="N65" s="22">
        <v>11373980</v>
      </c>
      <c r="O65" s="22">
        <v>798199</v>
      </c>
      <c r="P65" s="22">
        <v>3605421</v>
      </c>
      <c r="Q65" s="22">
        <v>28642597</v>
      </c>
      <c r="R65" s="22">
        <v>7275842</v>
      </c>
      <c r="S65" s="22">
        <v>12181457</v>
      </c>
      <c r="T65" s="22">
        <v>932195</v>
      </c>
      <c r="U65" s="22">
        <v>0</v>
      </c>
      <c r="V65" s="22">
        <v>5829005</v>
      </c>
      <c r="W65" s="22">
        <v>0</v>
      </c>
      <c r="X65" s="22">
        <v>18032976</v>
      </c>
      <c r="Y65" s="22">
        <v>4406444</v>
      </c>
      <c r="Z65" s="5" t="b">
        <f t="shared" si="5"/>
        <v>1</v>
      </c>
      <c r="AA65" s="6" t="b">
        <f t="shared" si="6"/>
        <v>1</v>
      </c>
      <c r="AB65" s="6" t="b">
        <f t="shared" si="7"/>
        <v>1</v>
      </c>
      <c r="AC65" s="5" t="b">
        <f t="shared" si="8"/>
        <v>1</v>
      </c>
      <c r="AD65" s="5" t="b">
        <f t="shared" si="9"/>
        <v>1</v>
      </c>
    </row>
    <row r="66" spans="1:30" x14ac:dyDescent="0.25">
      <c r="A66" s="25">
        <v>44718</v>
      </c>
      <c r="B66" s="22">
        <v>138209571</v>
      </c>
      <c r="C66" s="22">
        <v>56799885</v>
      </c>
      <c r="D66" s="22">
        <v>52803193</v>
      </c>
      <c r="E66" s="22">
        <v>28606493</v>
      </c>
      <c r="F66" s="22">
        <v>26529658</v>
      </c>
      <c r="G66" s="22">
        <v>48556725</v>
      </c>
      <c r="H66" s="22">
        <v>14855273</v>
      </c>
      <c r="I66" s="22">
        <v>42062304</v>
      </c>
      <c r="J66" s="22">
        <v>6205611</v>
      </c>
      <c r="K66" s="22">
        <v>22922664</v>
      </c>
      <c r="L66" s="22">
        <v>14068001</v>
      </c>
      <c r="M66" s="22">
        <v>7577823</v>
      </c>
      <c r="N66" s="22">
        <v>11431672</v>
      </c>
      <c r="O66" s="22">
        <v>799725</v>
      </c>
      <c r="P66" s="22">
        <v>3606994</v>
      </c>
      <c r="Q66" s="22">
        <v>28648152</v>
      </c>
      <c r="R66" s="22">
        <v>7277450</v>
      </c>
      <c r="S66" s="22">
        <v>12336296</v>
      </c>
      <c r="T66" s="22">
        <v>934301</v>
      </c>
      <c r="U66" s="22">
        <v>0</v>
      </c>
      <c r="V66" s="22">
        <v>5840572</v>
      </c>
      <c r="W66" s="22">
        <v>0</v>
      </c>
      <c r="X66" s="22">
        <v>18294336</v>
      </c>
      <c r="Y66" s="22">
        <v>4471585</v>
      </c>
      <c r="Z66" s="5" t="b">
        <f t="shared" ref="Z66:Z85" si="10">SUM(C66:E66)=B66</f>
        <v>1</v>
      </c>
      <c r="AA66" s="6" t="b">
        <f t="shared" si="6"/>
        <v>1</v>
      </c>
      <c r="AB66" s="6" t="b">
        <f t="shared" si="7"/>
        <v>1</v>
      </c>
      <c r="AC66" s="5" t="b">
        <f t="shared" si="8"/>
        <v>1</v>
      </c>
      <c r="AD66" s="5" t="b">
        <f t="shared" si="9"/>
        <v>1</v>
      </c>
    </row>
    <row r="67" spans="1:30" x14ac:dyDescent="0.25">
      <c r="A67" s="25">
        <v>44725</v>
      </c>
      <c r="B67" s="22">
        <v>138713285</v>
      </c>
      <c r="C67" s="22">
        <v>56860010</v>
      </c>
      <c r="D67" s="22">
        <v>52923673</v>
      </c>
      <c r="E67" s="22">
        <v>28929602</v>
      </c>
      <c r="F67" s="22">
        <v>26529992</v>
      </c>
      <c r="G67" s="22">
        <v>48572450</v>
      </c>
      <c r="H67" s="22">
        <v>14856541</v>
      </c>
      <c r="I67" s="22">
        <v>42466312</v>
      </c>
      <c r="J67" s="22">
        <v>6287990</v>
      </c>
      <c r="K67" s="22">
        <v>22922892</v>
      </c>
      <c r="L67" s="22">
        <v>14071070</v>
      </c>
      <c r="M67" s="22">
        <v>7578383</v>
      </c>
      <c r="N67" s="22">
        <v>11485763</v>
      </c>
      <c r="O67" s="22">
        <v>801902</v>
      </c>
      <c r="P67" s="22">
        <v>3607100</v>
      </c>
      <c r="Q67" s="22">
        <v>28651362</v>
      </c>
      <c r="R67" s="22">
        <v>7278158</v>
      </c>
      <c r="S67" s="22">
        <v>12450035</v>
      </c>
      <c r="T67" s="22">
        <v>937018</v>
      </c>
      <c r="U67" s="22">
        <v>0</v>
      </c>
      <c r="V67" s="22">
        <v>5850018</v>
      </c>
      <c r="W67" s="22">
        <v>0</v>
      </c>
      <c r="X67" s="22">
        <v>18530514</v>
      </c>
      <c r="Y67" s="22">
        <v>4549070</v>
      </c>
      <c r="Z67" s="5" t="b">
        <f t="shared" si="10"/>
        <v>1</v>
      </c>
      <c r="AA67" s="6" t="b">
        <f t="shared" si="6"/>
        <v>1</v>
      </c>
      <c r="AB67" s="6" t="b">
        <f t="shared" si="7"/>
        <v>1</v>
      </c>
      <c r="AC67" s="5" t="b">
        <f t="shared" si="8"/>
        <v>1</v>
      </c>
      <c r="AD67" s="5" t="b">
        <f t="shared" si="9"/>
        <v>1</v>
      </c>
    </row>
    <row r="68" spans="1:30" x14ac:dyDescent="0.25">
      <c r="A68" s="25">
        <v>44732</v>
      </c>
      <c r="B68" s="22">
        <v>139174365</v>
      </c>
      <c r="C68" s="22">
        <v>56913982</v>
      </c>
      <c r="D68" s="22">
        <v>53030342</v>
      </c>
      <c r="E68" s="22">
        <v>29230041</v>
      </c>
      <c r="F68" s="22">
        <v>26530620</v>
      </c>
      <c r="G68" s="22">
        <v>48586683</v>
      </c>
      <c r="H68" s="22">
        <v>14858683</v>
      </c>
      <c r="I68" s="22">
        <v>42827336</v>
      </c>
      <c r="J68" s="22">
        <v>6371043</v>
      </c>
      <c r="K68" s="22">
        <v>22923403</v>
      </c>
      <c r="L68" s="22">
        <v>14073904</v>
      </c>
      <c r="M68" s="22">
        <v>7579771</v>
      </c>
      <c r="N68" s="22">
        <v>11532810</v>
      </c>
      <c r="O68" s="22">
        <v>804094</v>
      </c>
      <c r="P68" s="22">
        <v>3607217</v>
      </c>
      <c r="Q68" s="22">
        <v>28654435</v>
      </c>
      <c r="R68" s="22">
        <v>7278912</v>
      </c>
      <c r="S68" s="22">
        <v>12550399</v>
      </c>
      <c r="T68" s="22">
        <v>939379</v>
      </c>
      <c r="U68" s="22">
        <v>0</v>
      </c>
      <c r="V68" s="22">
        <v>5858344</v>
      </c>
      <c r="W68" s="22">
        <v>0</v>
      </c>
      <c r="X68" s="22">
        <v>18744127</v>
      </c>
      <c r="Y68" s="22">
        <v>4627570</v>
      </c>
      <c r="Z68" s="5" t="b">
        <f t="shared" si="10"/>
        <v>1</v>
      </c>
      <c r="AA68" s="6" t="b">
        <f t="shared" si="6"/>
        <v>1</v>
      </c>
      <c r="AB68" s="6" t="b">
        <f t="shared" si="7"/>
        <v>1</v>
      </c>
      <c r="AC68" s="5" t="b">
        <f t="shared" si="8"/>
        <v>1</v>
      </c>
      <c r="AD68" s="5" t="b">
        <f t="shared" si="9"/>
        <v>1</v>
      </c>
    </row>
    <row r="69" spans="1:30" x14ac:dyDescent="0.25">
      <c r="A69" s="25">
        <v>44739</v>
      </c>
      <c r="B69" s="22">
        <v>139625456</v>
      </c>
      <c r="C69" s="22">
        <v>56962741</v>
      </c>
      <c r="D69" s="22">
        <v>53135840</v>
      </c>
      <c r="E69" s="22">
        <v>29526875</v>
      </c>
      <c r="F69" s="22">
        <v>26531566</v>
      </c>
      <c r="G69" s="22">
        <v>48603247</v>
      </c>
      <c r="H69" s="22">
        <v>14860321</v>
      </c>
      <c r="I69" s="22">
        <v>43162602</v>
      </c>
      <c r="J69" s="22">
        <v>6467720</v>
      </c>
      <c r="K69" s="22">
        <v>22924208</v>
      </c>
      <c r="L69" s="22">
        <v>14076879</v>
      </c>
      <c r="M69" s="22">
        <v>7580599</v>
      </c>
      <c r="N69" s="22">
        <v>11574620</v>
      </c>
      <c r="O69" s="22">
        <v>806435</v>
      </c>
      <c r="P69" s="22">
        <v>3607358</v>
      </c>
      <c r="Q69" s="22">
        <v>28659095</v>
      </c>
      <c r="R69" s="22">
        <v>7279722</v>
      </c>
      <c r="S69" s="22">
        <v>12647973</v>
      </c>
      <c r="T69" s="22">
        <v>941692</v>
      </c>
      <c r="U69" s="22">
        <v>0</v>
      </c>
      <c r="V69" s="22">
        <v>5867273</v>
      </c>
      <c r="W69" s="22">
        <v>0</v>
      </c>
      <c r="X69" s="22">
        <v>18940009</v>
      </c>
      <c r="Y69" s="22">
        <v>4719593</v>
      </c>
      <c r="Z69" s="5" t="b">
        <f t="shared" si="10"/>
        <v>1</v>
      </c>
      <c r="AA69" s="6" t="b">
        <f t="shared" si="6"/>
        <v>1</v>
      </c>
      <c r="AB69" s="6" t="b">
        <f t="shared" si="7"/>
        <v>1</v>
      </c>
      <c r="AC69" s="5" t="b">
        <f t="shared" si="8"/>
        <v>1</v>
      </c>
      <c r="AD69" s="5" t="b">
        <f t="shared" si="9"/>
        <v>1</v>
      </c>
    </row>
    <row r="70" spans="1:30" x14ac:dyDescent="0.25">
      <c r="A70" s="25">
        <v>44746</v>
      </c>
      <c r="B70" s="22">
        <v>140049334</v>
      </c>
      <c r="C70" s="22">
        <v>57003688</v>
      </c>
      <c r="D70" s="22">
        <v>53217012</v>
      </c>
      <c r="E70" s="22">
        <v>29828634</v>
      </c>
      <c r="F70" s="22">
        <v>26532181</v>
      </c>
      <c r="G70" s="22">
        <v>48618869</v>
      </c>
      <c r="H70" s="22">
        <v>14861267</v>
      </c>
      <c r="I70" s="22">
        <v>43460279</v>
      </c>
      <c r="J70" s="22">
        <v>6576738</v>
      </c>
      <c r="K70" s="22">
        <v>22924684</v>
      </c>
      <c r="L70" s="22">
        <v>14080472</v>
      </c>
      <c r="M70" s="22">
        <v>7580890</v>
      </c>
      <c r="N70" s="22">
        <v>11608942</v>
      </c>
      <c r="O70" s="22">
        <v>808700</v>
      </c>
      <c r="P70" s="22">
        <v>3607497</v>
      </c>
      <c r="Q70" s="22">
        <v>28663393</v>
      </c>
      <c r="R70" s="22">
        <v>7280377</v>
      </c>
      <c r="S70" s="22">
        <v>12721540</v>
      </c>
      <c r="T70" s="22">
        <v>944205</v>
      </c>
      <c r="U70" s="22">
        <v>0</v>
      </c>
      <c r="V70" s="22">
        <v>5875004</v>
      </c>
      <c r="W70" s="22">
        <v>0</v>
      </c>
      <c r="X70" s="22">
        <v>19129797</v>
      </c>
      <c r="Y70" s="22">
        <v>4823833</v>
      </c>
      <c r="Z70" s="5" t="b">
        <f t="shared" si="10"/>
        <v>1</v>
      </c>
      <c r="AA70" s="6" t="b">
        <f t="shared" si="6"/>
        <v>1</v>
      </c>
      <c r="AB70" s="6" t="b">
        <f t="shared" si="7"/>
        <v>1</v>
      </c>
      <c r="AC70" s="5" t="b">
        <f t="shared" si="8"/>
        <v>1</v>
      </c>
      <c r="AD70" s="5" t="b">
        <f t="shared" si="9"/>
        <v>1</v>
      </c>
    </row>
    <row r="71" spans="1:30" x14ac:dyDescent="0.25">
      <c r="A71" s="25">
        <v>44753</v>
      </c>
      <c r="B71" s="22">
        <v>140479700</v>
      </c>
      <c r="C71" s="22">
        <v>57042498</v>
      </c>
      <c r="D71" s="22">
        <v>53301416</v>
      </c>
      <c r="E71" s="22">
        <v>30135786</v>
      </c>
      <c r="F71" s="22">
        <v>26532811</v>
      </c>
      <c r="G71" s="22">
        <v>48629401</v>
      </c>
      <c r="H71" s="22">
        <v>14862057</v>
      </c>
      <c r="I71" s="22">
        <v>43768590</v>
      </c>
      <c r="J71" s="22">
        <v>6686841</v>
      </c>
      <c r="K71" s="22">
        <v>22925240</v>
      </c>
      <c r="L71" s="22">
        <v>14082326</v>
      </c>
      <c r="M71" s="22">
        <v>7581236</v>
      </c>
      <c r="N71" s="22">
        <v>11642655</v>
      </c>
      <c r="O71" s="22">
        <v>811041</v>
      </c>
      <c r="P71" s="22">
        <v>3607571</v>
      </c>
      <c r="Q71" s="22">
        <v>28665931</v>
      </c>
      <c r="R71" s="22">
        <v>7280821</v>
      </c>
      <c r="S71" s="22">
        <v>12800536</v>
      </c>
      <c r="T71" s="22">
        <v>946557</v>
      </c>
      <c r="U71" s="22">
        <v>0</v>
      </c>
      <c r="V71" s="22">
        <v>5881144</v>
      </c>
      <c r="W71" s="22">
        <v>0</v>
      </c>
      <c r="X71" s="22">
        <v>19325399</v>
      </c>
      <c r="Y71" s="22">
        <v>4929243</v>
      </c>
      <c r="Z71" s="5" t="b">
        <f t="shared" si="10"/>
        <v>1</v>
      </c>
      <c r="AA71" s="6" t="b">
        <f t="shared" si="6"/>
        <v>1</v>
      </c>
      <c r="AB71" s="6" t="b">
        <f t="shared" si="7"/>
        <v>1</v>
      </c>
      <c r="AC71" s="5" t="b">
        <f t="shared" si="8"/>
        <v>1</v>
      </c>
      <c r="AD71" s="5" t="b">
        <f t="shared" si="9"/>
        <v>1</v>
      </c>
    </row>
    <row r="72" spans="1:30" x14ac:dyDescent="0.25">
      <c r="A72" s="25">
        <v>44760</v>
      </c>
      <c r="B72" s="22">
        <v>140765696</v>
      </c>
      <c r="C72" s="22">
        <v>57062295</v>
      </c>
      <c r="D72" s="22">
        <v>53337656</v>
      </c>
      <c r="E72" s="22">
        <v>30365745</v>
      </c>
      <c r="F72" s="22">
        <v>26533030</v>
      </c>
      <c r="G72" s="22">
        <v>48635817</v>
      </c>
      <c r="H72" s="22">
        <v>14862635</v>
      </c>
      <c r="I72" s="22">
        <v>43949191</v>
      </c>
      <c r="J72" s="22">
        <v>6785023</v>
      </c>
      <c r="K72" s="22">
        <v>22925435</v>
      </c>
      <c r="L72" s="22">
        <v>14083243</v>
      </c>
      <c r="M72" s="22">
        <v>7581457</v>
      </c>
      <c r="N72" s="22">
        <v>11658995</v>
      </c>
      <c r="O72" s="22">
        <v>813165</v>
      </c>
      <c r="P72" s="22">
        <v>3607595</v>
      </c>
      <c r="Q72" s="22">
        <v>28666981</v>
      </c>
      <c r="R72" s="22">
        <v>7281178</v>
      </c>
      <c r="S72" s="22">
        <v>12833651</v>
      </c>
      <c r="T72" s="22">
        <v>948251</v>
      </c>
      <c r="U72" s="22">
        <v>0</v>
      </c>
      <c r="V72" s="22">
        <v>5885593</v>
      </c>
      <c r="W72" s="22">
        <v>0</v>
      </c>
      <c r="X72" s="22">
        <v>19456545</v>
      </c>
      <c r="Y72" s="22">
        <v>5023607</v>
      </c>
      <c r="Z72" s="5" t="b">
        <f t="shared" si="10"/>
        <v>1</v>
      </c>
      <c r="AA72" s="6" t="b">
        <f t="shared" si="6"/>
        <v>1</v>
      </c>
      <c r="AB72" s="6" t="b">
        <f t="shared" si="7"/>
        <v>1</v>
      </c>
      <c r="AC72" s="5" t="b">
        <f t="shared" si="8"/>
        <v>1</v>
      </c>
      <c r="AD72" s="5" t="b">
        <f t="shared" si="9"/>
        <v>1</v>
      </c>
    </row>
    <row r="73" spans="1:30" x14ac:dyDescent="0.25">
      <c r="A73" s="24">
        <v>44768</v>
      </c>
      <c r="B73" s="22">
        <v>141344843</v>
      </c>
      <c r="C73" s="22">
        <v>57114400</v>
      </c>
      <c r="D73" s="22">
        <v>53457902</v>
      </c>
      <c r="E73" s="22">
        <v>30772541</v>
      </c>
      <c r="F73" s="22">
        <v>26533272</v>
      </c>
      <c r="G73" s="22">
        <v>48650049</v>
      </c>
      <c r="H73" s="22">
        <v>14863355</v>
      </c>
      <c r="I73" s="22">
        <v>44405047</v>
      </c>
      <c r="J73" s="22">
        <v>6893120</v>
      </c>
      <c r="K73" s="22">
        <v>22925566</v>
      </c>
      <c r="L73" s="22">
        <v>14085885</v>
      </c>
      <c r="M73" s="22">
        <v>7581910</v>
      </c>
      <c r="N73" s="22">
        <v>11704907</v>
      </c>
      <c r="O73" s="22">
        <v>816132</v>
      </c>
      <c r="P73" s="22">
        <v>3607706</v>
      </c>
      <c r="Q73" s="22">
        <v>28669757</v>
      </c>
      <c r="R73" s="22">
        <v>7281445</v>
      </c>
      <c r="S73" s="22">
        <v>12948439</v>
      </c>
      <c r="T73" s="22">
        <v>950555</v>
      </c>
      <c r="U73" s="22">
        <v>0</v>
      </c>
      <c r="V73" s="22">
        <v>5894407</v>
      </c>
      <c r="W73" s="22">
        <v>0</v>
      </c>
      <c r="X73" s="22">
        <v>19751701</v>
      </c>
      <c r="Y73" s="22">
        <v>5126433</v>
      </c>
      <c r="Z73" s="5" t="b">
        <f t="shared" si="10"/>
        <v>1</v>
      </c>
      <c r="AA73" s="6" t="b">
        <f t="shared" si="6"/>
        <v>1</v>
      </c>
      <c r="AB73" s="6" t="b">
        <f t="shared" si="7"/>
        <v>1</v>
      </c>
      <c r="AC73" s="5" t="b">
        <f t="shared" si="8"/>
        <v>1</v>
      </c>
      <c r="AD73" s="5" t="b">
        <f t="shared" si="9"/>
        <v>1</v>
      </c>
    </row>
    <row r="74" spans="1:30" x14ac:dyDescent="0.25">
      <c r="A74" s="25">
        <v>44774</v>
      </c>
      <c r="B74" s="22">
        <v>141636420</v>
      </c>
      <c r="C74" s="22">
        <v>57139383</v>
      </c>
      <c r="D74" s="22">
        <v>53500358</v>
      </c>
      <c r="E74" s="22">
        <v>30996679</v>
      </c>
      <c r="F74" s="22">
        <v>26533442</v>
      </c>
      <c r="G74" s="22">
        <v>48658006</v>
      </c>
      <c r="H74" s="22">
        <v>14864037</v>
      </c>
      <c r="I74" s="22">
        <v>44610825</v>
      </c>
      <c r="J74" s="22">
        <v>6970110</v>
      </c>
      <c r="K74" s="22">
        <v>22925663</v>
      </c>
      <c r="L74" s="22">
        <v>14087207</v>
      </c>
      <c r="M74" s="22">
        <v>7582404</v>
      </c>
      <c r="N74" s="22">
        <v>11725987</v>
      </c>
      <c r="O74" s="22">
        <v>818122</v>
      </c>
      <c r="P74" s="22">
        <v>3607779</v>
      </c>
      <c r="Q74" s="22">
        <v>28671273</v>
      </c>
      <c r="R74" s="22">
        <v>7281633</v>
      </c>
      <c r="S74" s="22">
        <v>12987631</v>
      </c>
      <c r="T74" s="22">
        <v>952042</v>
      </c>
      <c r="U74" s="22">
        <v>0</v>
      </c>
      <c r="V74" s="22">
        <v>5899526</v>
      </c>
      <c r="W74" s="22">
        <v>0</v>
      </c>
      <c r="X74" s="22">
        <v>19897207</v>
      </c>
      <c r="Y74" s="22">
        <v>5199946</v>
      </c>
      <c r="Z74" s="5" t="b">
        <f t="shared" si="10"/>
        <v>1</v>
      </c>
      <c r="AA74" s="6" t="b">
        <f t="shared" si="6"/>
        <v>1</v>
      </c>
      <c r="AB74" s="6" t="b">
        <f t="shared" si="7"/>
        <v>1</v>
      </c>
      <c r="AC74" s="5" t="b">
        <f t="shared" si="8"/>
        <v>1</v>
      </c>
      <c r="AD74" s="5" t="b">
        <f t="shared" si="9"/>
        <v>1</v>
      </c>
    </row>
    <row r="75" spans="1:30" x14ac:dyDescent="0.25">
      <c r="A75" s="25">
        <v>44781</v>
      </c>
      <c r="B75" s="22">
        <v>141963122</v>
      </c>
      <c r="C75" s="22">
        <v>57170985</v>
      </c>
      <c r="D75" s="22">
        <v>53565533</v>
      </c>
      <c r="E75" s="22">
        <v>31226604</v>
      </c>
      <c r="F75" s="22">
        <v>26533769</v>
      </c>
      <c r="G75" s="22">
        <v>48665395</v>
      </c>
      <c r="H75" s="22">
        <v>14864822</v>
      </c>
      <c r="I75" s="22">
        <v>44862711</v>
      </c>
      <c r="J75" s="22">
        <v>7036425</v>
      </c>
      <c r="K75" s="22">
        <v>22925912</v>
      </c>
      <c r="L75" s="22">
        <v>14088262</v>
      </c>
      <c r="M75" s="22">
        <v>7582928</v>
      </c>
      <c r="N75" s="22">
        <v>11754180</v>
      </c>
      <c r="O75" s="22">
        <v>819703</v>
      </c>
      <c r="P75" s="22">
        <v>3607857</v>
      </c>
      <c r="Q75" s="22">
        <v>28672633</v>
      </c>
      <c r="R75" s="22">
        <v>7281894</v>
      </c>
      <c r="S75" s="22">
        <v>13049670</v>
      </c>
      <c r="T75" s="22">
        <v>953479</v>
      </c>
      <c r="U75" s="22">
        <v>0</v>
      </c>
      <c r="V75" s="22">
        <v>5904500</v>
      </c>
      <c r="W75" s="22">
        <v>0</v>
      </c>
      <c r="X75" s="22">
        <v>20058861</v>
      </c>
      <c r="Y75" s="22">
        <v>5263243</v>
      </c>
      <c r="Z75" s="5" t="b">
        <f t="shared" si="10"/>
        <v>1</v>
      </c>
      <c r="AA75" s="6" t="b">
        <f t="shared" si="6"/>
        <v>1</v>
      </c>
      <c r="AB75" s="6" t="b">
        <f t="shared" si="7"/>
        <v>1</v>
      </c>
      <c r="AC75" s="5" t="b">
        <f t="shared" si="8"/>
        <v>1</v>
      </c>
      <c r="AD75" s="5" t="b">
        <f t="shared" si="9"/>
        <v>1</v>
      </c>
    </row>
    <row r="76" spans="1:30" x14ac:dyDescent="0.25">
      <c r="A76" s="25">
        <v>44788</v>
      </c>
      <c r="B76" s="22">
        <v>142217962</v>
      </c>
      <c r="C76" s="22">
        <v>57196886</v>
      </c>
      <c r="D76" s="22">
        <v>53607001</v>
      </c>
      <c r="E76" s="22">
        <v>31414075</v>
      </c>
      <c r="F76" s="22">
        <v>26533939</v>
      </c>
      <c r="G76" s="22">
        <v>48670120</v>
      </c>
      <c r="H76" s="22">
        <v>14865846</v>
      </c>
      <c r="I76" s="22">
        <v>45044756</v>
      </c>
      <c r="J76" s="22">
        <v>7103301</v>
      </c>
      <c r="K76" s="22">
        <v>22926055</v>
      </c>
      <c r="L76" s="22">
        <v>14089178</v>
      </c>
      <c r="M76" s="22">
        <v>7583486</v>
      </c>
      <c r="N76" s="22">
        <v>11776815</v>
      </c>
      <c r="O76" s="22">
        <v>821352</v>
      </c>
      <c r="P76" s="22">
        <v>3607884</v>
      </c>
      <c r="Q76" s="22">
        <v>28673697</v>
      </c>
      <c r="R76" s="22">
        <v>7282360</v>
      </c>
      <c r="S76" s="22">
        <v>13088214</v>
      </c>
      <c r="T76" s="22">
        <v>954846</v>
      </c>
      <c r="U76" s="22">
        <v>0</v>
      </c>
      <c r="V76" s="22">
        <v>5907245</v>
      </c>
      <c r="W76" s="22">
        <v>0</v>
      </c>
      <c r="X76" s="22">
        <v>20179727</v>
      </c>
      <c r="Y76" s="22">
        <v>5327103</v>
      </c>
      <c r="Z76" s="5" t="b">
        <f t="shared" si="10"/>
        <v>1</v>
      </c>
      <c r="AA76" s="6" t="b">
        <f t="shared" si="6"/>
        <v>1</v>
      </c>
      <c r="AB76" s="6" t="b">
        <f t="shared" si="7"/>
        <v>1</v>
      </c>
      <c r="AC76" s="5" t="b">
        <f t="shared" si="8"/>
        <v>1</v>
      </c>
      <c r="AD76" s="5" t="b">
        <f t="shared" si="9"/>
        <v>1</v>
      </c>
    </row>
    <row r="77" spans="1:30" x14ac:dyDescent="0.25">
      <c r="A77" s="25">
        <v>44795</v>
      </c>
      <c r="B77" s="22">
        <v>142481893</v>
      </c>
      <c r="C77" s="22">
        <v>57224021</v>
      </c>
      <c r="D77" s="22">
        <v>53662777</v>
      </c>
      <c r="E77" s="22">
        <v>31595095</v>
      </c>
      <c r="F77" s="22">
        <v>26534103</v>
      </c>
      <c r="G77" s="22">
        <v>48675297</v>
      </c>
      <c r="H77" s="22">
        <v>14866915</v>
      </c>
      <c r="I77" s="22">
        <v>45259918</v>
      </c>
      <c r="J77" s="22">
        <v>7145660</v>
      </c>
      <c r="K77" s="22">
        <v>22926181</v>
      </c>
      <c r="L77" s="22">
        <v>14090283</v>
      </c>
      <c r="M77" s="22">
        <v>7584125</v>
      </c>
      <c r="N77" s="22">
        <v>11800964</v>
      </c>
      <c r="O77" s="22">
        <v>822468</v>
      </c>
      <c r="P77" s="22">
        <v>3607922</v>
      </c>
      <c r="Q77" s="22">
        <v>28674951</v>
      </c>
      <c r="R77" s="22">
        <v>7282790</v>
      </c>
      <c r="S77" s="22">
        <v>13141153</v>
      </c>
      <c r="T77" s="22">
        <v>955961</v>
      </c>
      <c r="U77" s="22">
        <v>0</v>
      </c>
      <c r="V77" s="22">
        <v>5910063</v>
      </c>
      <c r="W77" s="22">
        <v>0</v>
      </c>
      <c r="X77" s="22">
        <v>20317801</v>
      </c>
      <c r="Y77" s="22">
        <v>5367231</v>
      </c>
      <c r="Z77" s="5" t="b">
        <f t="shared" si="10"/>
        <v>1</v>
      </c>
      <c r="AA77" s="6" t="b">
        <f t="shared" ref="AA77:AA85" si="11">SUM(F77:J77)=B77</f>
        <v>1</v>
      </c>
      <c r="AB77" s="6" t="b">
        <f t="shared" ref="AB77:AB85" si="12">SUM(K77:O77)=C77</f>
        <v>1</v>
      </c>
      <c r="AC77" s="5" t="b">
        <f t="shared" ref="AC77:AC85" si="13">SUM(P77:T77)=D77</f>
        <v>1</v>
      </c>
      <c r="AD77" s="5" t="b">
        <f t="shared" si="9"/>
        <v>1</v>
      </c>
    </row>
    <row r="78" spans="1:30" x14ac:dyDescent="0.25">
      <c r="A78" s="25">
        <v>44801</v>
      </c>
      <c r="B78" s="22">
        <v>142686121</v>
      </c>
      <c r="C78" s="22">
        <v>57248615</v>
      </c>
      <c r="D78" s="22">
        <v>53706513</v>
      </c>
      <c r="E78" s="22">
        <v>31730993</v>
      </c>
      <c r="F78" s="22">
        <v>26534327</v>
      </c>
      <c r="G78" s="22">
        <v>48679982</v>
      </c>
      <c r="H78" s="22">
        <v>14867918</v>
      </c>
      <c r="I78" s="22">
        <v>45439111</v>
      </c>
      <c r="J78" s="22">
        <v>7164783</v>
      </c>
      <c r="K78" s="22">
        <v>22926351</v>
      </c>
      <c r="L78" s="22">
        <v>14091736</v>
      </c>
      <c r="M78" s="22">
        <v>7584646</v>
      </c>
      <c r="N78" s="22">
        <v>11822490</v>
      </c>
      <c r="O78" s="22">
        <v>823392</v>
      </c>
      <c r="P78" s="22">
        <v>3607976</v>
      </c>
      <c r="Q78" s="22">
        <v>28675900</v>
      </c>
      <c r="R78" s="22">
        <v>7283272</v>
      </c>
      <c r="S78" s="22">
        <v>13182668</v>
      </c>
      <c r="T78" s="22">
        <v>956697</v>
      </c>
      <c r="U78" s="22">
        <v>0</v>
      </c>
      <c r="V78" s="22">
        <v>5912346</v>
      </c>
      <c r="W78" s="22">
        <v>0</v>
      </c>
      <c r="X78" s="22">
        <v>20433953</v>
      </c>
      <c r="Y78" s="22">
        <v>5384694</v>
      </c>
      <c r="Z78" s="5" t="b">
        <f t="shared" si="10"/>
        <v>1</v>
      </c>
      <c r="AA78" s="6" t="b">
        <f t="shared" si="11"/>
        <v>1</v>
      </c>
      <c r="AB78" s="6" t="b">
        <f t="shared" si="12"/>
        <v>1</v>
      </c>
      <c r="AC78" s="5" t="b">
        <f t="shared" si="13"/>
        <v>1</v>
      </c>
      <c r="AD78" s="5" t="b">
        <f t="shared" si="9"/>
        <v>1</v>
      </c>
    </row>
    <row r="79" spans="1:30" x14ac:dyDescent="0.25">
      <c r="A79" s="25">
        <v>44808</v>
      </c>
      <c r="B79" s="22">
        <v>142850396</v>
      </c>
      <c r="C79" s="22">
        <v>57270511</v>
      </c>
      <c r="D79" s="22">
        <v>53743238</v>
      </c>
      <c r="E79" s="22">
        <v>31836647</v>
      </c>
      <c r="F79" s="22">
        <v>26534545</v>
      </c>
      <c r="G79" s="22">
        <v>48684190</v>
      </c>
      <c r="H79" s="22">
        <v>14868761</v>
      </c>
      <c r="I79" s="22">
        <v>45582944</v>
      </c>
      <c r="J79" s="22">
        <v>7179956</v>
      </c>
      <c r="K79" s="22">
        <v>22926528</v>
      </c>
      <c r="L79" s="22">
        <v>14092926</v>
      </c>
      <c r="M79" s="22">
        <v>7585073</v>
      </c>
      <c r="N79" s="22">
        <v>11841551</v>
      </c>
      <c r="O79" s="22">
        <v>824433</v>
      </c>
      <c r="P79" s="22">
        <v>3608017</v>
      </c>
      <c r="Q79" s="22">
        <v>28676939</v>
      </c>
      <c r="R79" s="22">
        <v>7283688</v>
      </c>
      <c r="S79" s="22">
        <v>13217207</v>
      </c>
      <c r="T79" s="22">
        <v>957387</v>
      </c>
      <c r="U79" s="22">
        <v>0</v>
      </c>
      <c r="V79" s="22">
        <v>5914325</v>
      </c>
      <c r="W79" s="22">
        <v>0</v>
      </c>
      <c r="X79" s="22">
        <v>20524186</v>
      </c>
      <c r="Y79" s="22">
        <v>5398136</v>
      </c>
      <c r="Z79" s="5" t="b">
        <f t="shared" si="10"/>
        <v>1</v>
      </c>
      <c r="AA79" s="6" t="b">
        <f t="shared" si="11"/>
        <v>1</v>
      </c>
      <c r="AB79" s="6" t="b">
        <f t="shared" si="12"/>
        <v>1</v>
      </c>
      <c r="AC79" s="5" t="b">
        <f t="shared" si="13"/>
        <v>1</v>
      </c>
      <c r="AD79" s="5" t="b">
        <f t="shared" si="9"/>
        <v>1</v>
      </c>
    </row>
    <row r="80" spans="1:30" x14ac:dyDescent="0.25">
      <c r="A80" s="25">
        <v>44816</v>
      </c>
      <c r="B80" s="22">
        <v>143021702</v>
      </c>
      <c r="C80" s="22">
        <v>57287738</v>
      </c>
      <c r="D80" s="22">
        <v>53771365</v>
      </c>
      <c r="E80" s="22">
        <v>31962599</v>
      </c>
      <c r="F80" s="22">
        <v>26534749</v>
      </c>
      <c r="G80" s="22">
        <v>48687513</v>
      </c>
      <c r="H80" s="22">
        <v>14869695</v>
      </c>
      <c r="I80" s="22">
        <v>45731889</v>
      </c>
      <c r="J80" s="22">
        <v>7197856</v>
      </c>
      <c r="K80" s="22">
        <v>22926662</v>
      </c>
      <c r="L80" s="22">
        <v>14094030</v>
      </c>
      <c r="M80" s="22">
        <v>7585546</v>
      </c>
      <c r="N80" s="22">
        <v>11856373</v>
      </c>
      <c r="O80" s="22">
        <v>825127</v>
      </c>
      <c r="P80" s="22">
        <v>3608087</v>
      </c>
      <c r="Q80" s="22">
        <v>28677733</v>
      </c>
      <c r="R80" s="22">
        <v>7284149</v>
      </c>
      <c r="S80" s="22">
        <v>13243326</v>
      </c>
      <c r="T80" s="22">
        <v>958070</v>
      </c>
      <c r="U80" s="22">
        <v>0</v>
      </c>
      <c r="V80" s="22">
        <v>5915750</v>
      </c>
      <c r="W80" s="22">
        <v>0</v>
      </c>
      <c r="X80" s="22">
        <v>20632190</v>
      </c>
      <c r="Y80" s="22">
        <v>5414659</v>
      </c>
      <c r="Z80" s="5" t="b">
        <f t="shared" si="10"/>
        <v>1</v>
      </c>
      <c r="AA80" s="6" t="b">
        <f t="shared" si="11"/>
        <v>1</v>
      </c>
      <c r="AB80" s="6" t="b">
        <f t="shared" si="12"/>
        <v>1</v>
      </c>
      <c r="AC80" s="5" t="b">
        <f t="shared" si="13"/>
        <v>1</v>
      </c>
      <c r="AD80" s="5" t="b">
        <f t="shared" si="9"/>
        <v>1</v>
      </c>
    </row>
    <row r="81" spans="1:30" x14ac:dyDescent="0.25">
      <c r="A81" s="25">
        <v>44823</v>
      </c>
      <c r="B81" s="22">
        <v>143156893</v>
      </c>
      <c r="C81" s="22">
        <v>57304087</v>
      </c>
      <c r="D81" s="22">
        <v>53801054</v>
      </c>
      <c r="E81" s="22">
        <v>32051752</v>
      </c>
      <c r="F81" s="22">
        <v>26534939</v>
      </c>
      <c r="G81" s="22">
        <v>48689699</v>
      </c>
      <c r="H81" s="22">
        <v>14870360</v>
      </c>
      <c r="I81" s="22">
        <v>45840458</v>
      </c>
      <c r="J81" s="22">
        <v>7221437</v>
      </c>
      <c r="K81" s="22">
        <v>22926782</v>
      </c>
      <c r="L81" s="22">
        <v>14094445</v>
      </c>
      <c r="M81" s="22">
        <v>7585904</v>
      </c>
      <c r="N81" s="22">
        <v>11870698</v>
      </c>
      <c r="O81" s="22">
        <v>826258</v>
      </c>
      <c r="P81" s="22">
        <v>3608157</v>
      </c>
      <c r="Q81" s="22">
        <v>28678299</v>
      </c>
      <c r="R81" s="22">
        <v>7284456</v>
      </c>
      <c r="S81" s="22">
        <v>13271262</v>
      </c>
      <c r="T81" s="22">
        <v>958880</v>
      </c>
      <c r="U81" s="22">
        <v>0</v>
      </c>
      <c r="V81" s="22">
        <v>5916955</v>
      </c>
      <c r="W81" s="22">
        <v>0</v>
      </c>
      <c r="X81" s="22">
        <v>20698498</v>
      </c>
      <c r="Y81" s="22">
        <v>5436299</v>
      </c>
      <c r="Z81" s="5" t="b">
        <f t="shared" si="10"/>
        <v>1</v>
      </c>
      <c r="AA81" s="6" t="b">
        <f t="shared" si="11"/>
        <v>1</v>
      </c>
      <c r="AB81" s="6" t="b">
        <f t="shared" si="12"/>
        <v>1</v>
      </c>
      <c r="AC81" s="5" t="b">
        <f t="shared" si="13"/>
        <v>1</v>
      </c>
      <c r="AD81" s="5" t="b">
        <f t="shared" si="9"/>
        <v>1</v>
      </c>
    </row>
    <row r="82" spans="1:30" x14ac:dyDescent="0.25">
      <c r="A82" s="25">
        <v>44830</v>
      </c>
      <c r="B82" s="22">
        <v>143287515</v>
      </c>
      <c r="C82" s="22">
        <v>57321793</v>
      </c>
      <c r="D82" s="22">
        <v>53828972</v>
      </c>
      <c r="E82" s="22">
        <v>32136750</v>
      </c>
      <c r="F82" s="22">
        <v>26535050</v>
      </c>
      <c r="G82" s="22">
        <v>48694414</v>
      </c>
      <c r="H82" s="22">
        <v>14871213</v>
      </c>
      <c r="I82" s="22">
        <v>45946769</v>
      </c>
      <c r="J82" s="22">
        <v>7240069</v>
      </c>
      <c r="K82" s="22">
        <v>22926863</v>
      </c>
      <c r="L82" s="22">
        <v>14096417</v>
      </c>
      <c r="M82" s="22">
        <v>7586541</v>
      </c>
      <c r="N82" s="22">
        <v>11884777</v>
      </c>
      <c r="O82" s="22">
        <v>827195</v>
      </c>
      <c r="P82" s="22">
        <v>3608187</v>
      </c>
      <c r="Q82" s="22">
        <v>28679520</v>
      </c>
      <c r="R82" s="22">
        <v>7284672</v>
      </c>
      <c r="S82" s="22">
        <v>13296953</v>
      </c>
      <c r="T82" s="22">
        <v>959640</v>
      </c>
      <c r="U82" s="22">
        <v>0</v>
      </c>
      <c r="V82" s="22">
        <v>5918477</v>
      </c>
      <c r="W82" s="22">
        <v>0</v>
      </c>
      <c r="X82" s="22">
        <v>20765039</v>
      </c>
      <c r="Y82" s="22">
        <v>5453234</v>
      </c>
      <c r="Z82" s="5" t="b">
        <f t="shared" si="10"/>
        <v>1</v>
      </c>
      <c r="AA82" s="6" t="b">
        <f t="shared" si="11"/>
        <v>1</v>
      </c>
      <c r="AB82" s="6" t="b">
        <f t="shared" si="12"/>
        <v>1</v>
      </c>
      <c r="AC82" s="5" t="b">
        <f t="shared" si="13"/>
        <v>1</v>
      </c>
      <c r="AD82" s="5" t="b">
        <f t="shared" si="9"/>
        <v>1</v>
      </c>
    </row>
    <row r="83" spans="1:30" x14ac:dyDescent="0.25">
      <c r="A83" s="24">
        <v>44841</v>
      </c>
      <c r="B83" s="22">
        <v>143451587</v>
      </c>
      <c r="C83" s="22">
        <v>57341413</v>
      </c>
      <c r="D83" s="22">
        <v>53860314</v>
      </c>
      <c r="E83" s="22">
        <v>32249860</v>
      </c>
      <c r="F83" s="22">
        <v>26535179</v>
      </c>
      <c r="G83" s="22">
        <v>48698262</v>
      </c>
      <c r="H83" s="22">
        <v>14872053</v>
      </c>
      <c r="I83" s="22">
        <v>46075716</v>
      </c>
      <c r="J83" s="22">
        <v>7270377</v>
      </c>
      <c r="K83" s="22">
        <v>22926975</v>
      </c>
      <c r="L83" s="22">
        <v>14097155</v>
      </c>
      <c r="M83" s="22">
        <v>7586992</v>
      </c>
      <c r="N83" s="22">
        <v>11900877</v>
      </c>
      <c r="O83" s="22">
        <v>829414</v>
      </c>
      <c r="P83" s="22">
        <v>3608204</v>
      </c>
      <c r="Q83" s="22">
        <v>28680075</v>
      </c>
      <c r="R83" s="22">
        <v>7285061</v>
      </c>
      <c r="S83" s="22">
        <v>13326130</v>
      </c>
      <c r="T83" s="22">
        <v>960844</v>
      </c>
      <c r="U83" s="22">
        <v>0</v>
      </c>
      <c r="V83" s="22">
        <v>5921032</v>
      </c>
      <c r="W83" s="22">
        <v>0</v>
      </c>
      <c r="X83" s="22">
        <v>20848709</v>
      </c>
      <c r="Y83" s="22">
        <v>5480119</v>
      </c>
      <c r="Z83" s="5" t="b">
        <f t="shared" si="10"/>
        <v>1</v>
      </c>
      <c r="AA83" s="6" t="b">
        <f t="shared" si="11"/>
        <v>1</v>
      </c>
      <c r="AB83" s="6" t="b">
        <f t="shared" si="12"/>
        <v>1</v>
      </c>
      <c r="AC83" s="5" t="b">
        <f t="shared" si="13"/>
        <v>1</v>
      </c>
      <c r="AD83" s="5" t="b">
        <f t="shared" si="9"/>
        <v>1</v>
      </c>
    </row>
    <row r="84" spans="1:30" x14ac:dyDescent="0.25">
      <c r="A84" s="24">
        <v>44855</v>
      </c>
      <c r="B84" s="22">
        <v>143569353</v>
      </c>
      <c r="C84" s="22">
        <v>57356208</v>
      </c>
      <c r="D84" s="22">
        <v>53886717</v>
      </c>
      <c r="E84" s="22">
        <v>32326428</v>
      </c>
      <c r="F84" s="22">
        <v>26535217</v>
      </c>
      <c r="G84" s="22">
        <v>48700881</v>
      </c>
      <c r="H84" s="22">
        <v>14872615</v>
      </c>
      <c r="I84" s="22">
        <v>46168450</v>
      </c>
      <c r="J84" s="22">
        <v>7292190</v>
      </c>
      <c r="K84" s="22">
        <v>22926998</v>
      </c>
      <c r="L84" s="22">
        <v>14098002</v>
      </c>
      <c r="M84" s="22">
        <v>7587258</v>
      </c>
      <c r="N84" s="22">
        <v>11912250</v>
      </c>
      <c r="O84" s="22">
        <v>831700</v>
      </c>
      <c r="P84" s="22">
        <v>3608219</v>
      </c>
      <c r="Q84" s="22">
        <v>28680955</v>
      </c>
      <c r="R84" s="22">
        <v>7285357</v>
      </c>
      <c r="S84" s="22">
        <v>13350216</v>
      </c>
      <c r="T84" s="22">
        <v>961970</v>
      </c>
      <c r="U84" s="22">
        <v>0</v>
      </c>
      <c r="V84" s="22">
        <v>5921924</v>
      </c>
      <c r="W84" s="22">
        <v>0</v>
      </c>
      <c r="X84" s="22">
        <v>20905984</v>
      </c>
      <c r="Y84" s="22">
        <v>5498520</v>
      </c>
      <c r="Z84" s="5" t="b">
        <f t="shared" si="10"/>
        <v>1</v>
      </c>
      <c r="AA84" s="6" t="b">
        <f t="shared" si="11"/>
        <v>1</v>
      </c>
      <c r="AB84" s="6" t="b">
        <f t="shared" si="12"/>
        <v>1</v>
      </c>
      <c r="AC84" s="5" t="b">
        <f t="shared" si="13"/>
        <v>1</v>
      </c>
      <c r="AD84" s="5" t="b">
        <f t="shared" si="9"/>
        <v>1</v>
      </c>
    </row>
    <row r="85" spans="1:30" x14ac:dyDescent="0.25">
      <c r="A85" s="24">
        <v>44862</v>
      </c>
      <c r="B85" s="22">
        <v>143624996</v>
      </c>
      <c r="C85" s="22">
        <v>57363588</v>
      </c>
      <c r="D85" s="22">
        <v>53902414</v>
      </c>
      <c r="E85" s="22">
        <v>32358994</v>
      </c>
      <c r="F85" s="22">
        <v>26535228</v>
      </c>
      <c r="G85" s="22">
        <v>48702683</v>
      </c>
      <c r="H85" s="22">
        <v>14873031</v>
      </c>
      <c r="I85" s="22">
        <v>46214416</v>
      </c>
      <c r="J85" s="22">
        <v>7299638</v>
      </c>
      <c r="K85" s="22">
        <v>22927001</v>
      </c>
      <c r="L85" s="22">
        <v>14098394</v>
      </c>
      <c r="M85" s="22">
        <v>7587458</v>
      </c>
      <c r="N85" s="22">
        <v>11918449</v>
      </c>
      <c r="O85" s="22">
        <v>832286</v>
      </c>
      <c r="P85" s="22">
        <v>3608227</v>
      </c>
      <c r="Q85" s="22">
        <v>28681542</v>
      </c>
      <c r="R85" s="22">
        <v>7285573</v>
      </c>
      <c r="S85" s="22">
        <v>13364609</v>
      </c>
      <c r="T85" s="22">
        <v>962463</v>
      </c>
      <c r="U85" s="22">
        <v>0</v>
      </c>
      <c r="V85" s="22">
        <v>5922747</v>
      </c>
      <c r="W85" s="22">
        <v>0</v>
      </c>
      <c r="X85" s="22">
        <v>20931358</v>
      </c>
      <c r="Y85" s="22">
        <v>5504889</v>
      </c>
      <c r="Z85" s="5" t="b">
        <f t="shared" si="10"/>
        <v>1</v>
      </c>
      <c r="AA85" s="6" t="b">
        <f t="shared" si="11"/>
        <v>1</v>
      </c>
      <c r="AB85" s="6" t="b">
        <f t="shared" si="12"/>
        <v>1</v>
      </c>
      <c r="AC85" s="5" t="b">
        <f t="shared" si="13"/>
        <v>1</v>
      </c>
      <c r="AD85" s="5" t="b">
        <f t="shared" si="9"/>
        <v>1</v>
      </c>
    </row>
    <row r="86" spans="1:30" x14ac:dyDescent="0.25">
      <c r="A86" s="21"/>
      <c r="B86" s="5"/>
      <c r="C86" s="5"/>
      <c r="D86" s="5"/>
      <c r="P86" s="5"/>
      <c r="Q86" s="5"/>
      <c r="R86" s="5"/>
      <c r="S86" s="5"/>
      <c r="T86" s="5"/>
      <c r="U86" s="5"/>
      <c r="V86" s="5"/>
      <c r="W86" s="5"/>
      <c r="X86" s="5"/>
      <c r="Y86" s="5"/>
      <c r="AA86" s="5"/>
      <c r="AC86" s="5"/>
      <c r="AD86" s="5"/>
    </row>
    <row r="87" spans="1:30" x14ac:dyDescent="0.25">
      <c r="A87" s="21"/>
      <c r="B87" s="5"/>
      <c r="C87" s="5"/>
      <c r="D87" s="5"/>
      <c r="P87" s="5"/>
      <c r="Q87" s="5"/>
      <c r="R87" s="5"/>
      <c r="S87" s="5"/>
      <c r="T87" s="5"/>
      <c r="U87" s="5"/>
      <c r="V87" s="5"/>
      <c r="W87" s="5"/>
      <c r="X87" s="5"/>
      <c r="Y87" s="5"/>
      <c r="AA87" s="5"/>
      <c r="AC87" s="5"/>
      <c r="AD87" s="5"/>
    </row>
    <row r="88" spans="1:30" x14ac:dyDescent="0.25">
      <c r="A88" s="21"/>
    </row>
    <row r="89" spans="1:30" x14ac:dyDescent="0.25">
      <c r="A89" s="21"/>
    </row>
    <row r="90" spans="1:30" x14ac:dyDescent="0.25">
      <c r="A90" s="21"/>
    </row>
    <row r="91" spans="1:30" x14ac:dyDescent="0.25">
      <c r="A91" s="21"/>
    </row>
    <row r="92" spans="1:30" x14ac:dyDescent="0.25">
      <c r="A92" s="21"/>
    </row>
    <row r="93" spans="1:30" x14ac:dyDescent="0.25">
      <c r="A93" s="21"/>
    </row>
    <row r="94" spans="1:30" x14ac:dyDescent="0.25">
      <c r="A94" s="21"/>
    </row>
    <row r="95" spans="1:30" x14ac:dyDescent="0.25">
      <c r="A95" s="21"/>
    </row>
    <row r="96" spans="1:30" x14ac:dyDescent="0.25">
      <c r="A96" s="21"/>
    </row>
    <row r="97" spans="1:1" x14ac:dyDescent="0.25">
      <c r="A97" s="21"/>
    </row>
    <row r="98" spans="1:1" x14ac:dyDescent="0.25">
      <c r="A98" s="21"/>
    </row>
    <row r="99" spans="1:1" x14ac:dyDescent="0.25">
      <c r="A99" s="21"/>
    </row>
    <row r="100" spans="1:1" x14ac:dyDescent="0.25">
      <c r="A100" s="21"/>
    </row>
    <row r="101" spans="1:1" x14ac:dyDescent="0.25">
      <c r="A101" s="21"/>
    </row>
    <row r="102" spans="1:1" x14ac:dyDescent="0.25">
      <c r="A102" s="21"/>
    </row>
    <row r="103" spans="1:1" x14ac:dyDescent="0.25">
      <c r="A103" s="21"/>
    </row>
    <row r="104" spans="1:1" x14ac:dyDescent="0.25">
      <c r="A104" s="21"/>
    </row>
    <row r="105" spans="1:1" x14ac:dyDescent="0.25">
      <c r="A105" s="21"/>
    </row>
    <row r="106" spans="1:1" x14ac:dyDescent="0.25">
      <c r="A106" s="21"/>
    </row>
    <row r="107" spans="1:1" x14ac:dyDescent="0.25">
      <c r="A107" s="21"/>
    </row>
    <row r="108" spans="1:1" x14ac:dyDescent="0.25">
      <c r="A108" s="21"/>
    </row>
    <row r="109" spans="1:1" x14ac:dyDescent="0.25">
      <c r="A109" s="21"/>
    </row>
    <row r="110" spans="1:1" x14ac:dyDescent="0.25">
      <c r="A110" s="21"/>
    </row>
    <row r="111" spans="1:1" x14ac:dyDescent="0.25">
      <c r="A111" s="21"/>
    </row>
    <row r="112" spans="1:1" x14ac:dyDescent="0.25">
      <c r="A112" s="21"/>
    </row>
    <row r="113" spans="1:1" x14ac:dyDescent="0.25">
      <c r="A113" s="21"/>
    </row>
    <row r="114" spans="1:1" x14ac:dyDescent="0.25">
      <c r="A114" s="21"/>
    </row>
    <row r="115" spans="1:1" x14ac:dyDescent="0.25">
      <c r="A115" s="21"/>
    </row>
    <row r="116" spans="1:1" x14ac:dyDescent="0.25">
      <c r="A116" s="21"/>
    </row>
    <row r="117" spans="1:1" x14ac:dyDescent="0.25">
      <c r="A117" s="21"/>
    </row>
    <row r="118" spans="1:1" x14ac:dyDescent="0.25">
      <c r="A118" s="21"/>
    </row>
    <row r="119" spans="1:1" x14ac:dyDescent="0.25">
      <c r="A119" s="21"/>
    </row>
    <row r="120" spans="1:1" x14ac:dyDescent="0.25">
      <c r="A120" s="21"/>
    </row>
    <row r="121" spans="1:1" x14ac:dyDescent="0.25">
      <c r="A121" s="21"/>
    </row>
    <row r="122" spans="1:1" x14ac:dyDescent="0.25">
      <c r="A122" s="21"/>
    </row>
    <row r="123" spans="1:1" x14ac:dyDescent="0.25">
      <c r="A123" s="21"/>
    </row>
    <row r="124" spans="1:1" x14ac:dyDescent="0.25">
      <c r="A124" s="21"/>
    </row>
    <row r="125" spans="1:1" x14ac:dyDescent="0.25">
      <c r="A125" s="21"/>
    </row>
    <row r="126" spans="1:1" x14ac:dyDescent="0.25">
      <c r="A126" s="21"/>
    </row>
    <row r="127" spans="1:1" x14ac:dyDescent="0.25">
      <c r="A127" s="21"/>
    </row>
    <row r="128" spans="1:1" x14ac:dyDescent="0.25">
      <c r="A128" s="21"/>
    </row>
    <row r="129" spans="1:1" x14ac:dyDescent="0.25">
      <c r="A129" s="21"/>
    </row>
  </sheetData>
  <mergeCells count="1">
    <mergeCell ref="Z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A3AD-3542-432E-8971-3F47379CE539}">
  <dimension ref="A1:D7"/>
  <sheetViews>
    <sheetView zoomScale="92" workbookViewId="0">
      <selection activeCell="B7" sqref="B7"/>
    </sheetView>
  </sheetViews>
  <sheetFormatPr baseColWidth="10" defaultColWidth="8.83203125" defaultRowHeight="15" x14ac:dyDescent="0.2"/>
  <cols>
    <col min="1" max="1" width="9.83203125" bestFit="1" customWidth="1"/>
    <col min="2" max="2" width="13.6640625" bestFit="1" customWidth="1"/>
    <col min="3" max="3" width="16.33203125" bestFit="1" customWidth="1"/>
    <col min="4" max="4" width="17.33203125" style="1" bestFit="1" customWidth="1"/>
    <col min="5" max="5" width="17.33203125" bestFit="1" customWidth="1"/>
  </cols>
  <sheetData>
    <row r="1" spans="1:4" x14ac:dyDescent="0.2">
      <c r="B1" s="1" t="s">
        <v>33</v>
      </c>
      <c r="C1" s="1" t="s">
        <v>34</v>
      </c>
    </row>
    <row r="2" spans="1:4" x14ac:dyDescent="0.2">
      <c r="A2" s="1" t="s">
        <v>44</v>
      </c>
      <c r="B2" s="3">
        <v>44255</v>
      </c>
      <c r="C2" s="3">
        <v>44277</v>
      </c>
      <c r="D2" s="1" t="s">
        <v>36</v>
      </c>
    </row>
    <row r="3" spans="1:4" x14ac:dyDescent="0.2">
      <c r="A3" s="1" t="s">
        <v>45</v>
      </c>
      <c r="B3" s="3">
        <v>44284</v>
      </c>
      <c r="C3" s="3">
        <v>44333</v>
      </c>
      <c r="D3" s="1" t="s">
        <v>35</v>
      </c>
    </row>
    <row r="4" spans="1:4" x14ac:dyDescent="0.2">
      <c r="A4" s="1" t="s">
        <v>46</v>
      </c>
      <c r="B4" s="3">
        <v>44375</v>
      </c>
      <c r="C4" s="3">
        <v>44375</v>
      </c>
    </row>
    <row r="5" spans="1:4" x14ac:dyDescent="0.2">
      <c r="A5" s="1" t="s">
        <v>43</v>
      </c>
      <c r="B5" s="3">
        <v>44417</v>
      </c>
      <c r="C5" s="2"/>
    </row>
    <row r="6" spans="1:4" x14ac:dyDescent="0.2">
      <c r="A6" s="1" t="s">
        <v>47</v>
      </c>
      <c r="B6" s="3">
        <v>44417</v>
      </c>
    </row>
    <row r="7" spans="1:4" x14ac:dyDescent="0.2">
      <c r="A7" s="1" t="s">
        <v>42</v>
      </c>
      <c r="B7" s="3">
        <v>44522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MarketShare</vt:lpstr>
      <vt:lpstr>DataExtract</vt:lpstr>
      <vt:lpstr>date_vaccination</vt:lpstr>
      <vt:lpstr>PrimaryDoses</vt:lpstr>
      <vt:lpstr>BoosterDoses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</dc:creator>
  <cp:lastModifiedBy>Yang Liu</cp:lastModifiedBy>
  <dcterms:created xsi:type="dcterms:W3CDTF">2022-11-17T09:38:09Z</dcterms:created>
  <dcterms:modified xsi:type="dcterms:W3CDTF">2023-02-20T11:26:16Z</dcterms:modified>
</cp:coreProperties>
</file>